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t\Desktop\"/>
    </mc:Choice>
  </mc:AlternateContent>
  <xr:revisionPtr revIDLastSave="0" documentId="13_ncr:1_{327EA7B3-E9C2-44D0-B8B2-D04C2F15335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UADRE" sheetId="1" r:id="rId1"/>
    <sheet name="CUADRE dejadas" sheetId="2" r:id="rId2"/>
    <sheet name="REPORTE HOTELES" sheetId="3" r:id="rId3"/>
    <sheet name="comisiones" sheetId="4" r:id="rId4"/>
    <sheet name="CORTE FINAL" sheetId="5" r:id="rId5"/>
  </sheets>
  <definedNames>
    <definedName name="_xlnm._FilterDatabase" localSheetId="1" hidden="1">'CUADRE dejadas'!$B$4:$Y$72</definedName>
  </definedNames>
  <calcPr calcId="191029"/>
</workbook>
</file>

<file path=xl/calcChain.xml><?xml version="1.0" encoding="utf-8"?>
<calcChain xmlns="http://schemas.openxmlformats.org/spreadsheetml/2006/main">
  <c r="G18" i="1" l="1"/>
  <c r="F18" i="1"/>
  <c r="E18" i="1"/>
  <c r="C18" i="1"/>
  <c r="I18" i="1" l="1"/>
  <c r="H18" i="1"/>
  <c r="G21" i="1" l="1"/>
  <c r="C1" i="1"/>
  <c r="F1" i="1"/>
  <c r="E1" i="1"/>
  <c r="D3" i="1"/>
  <c r="D18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" i="1" l="1"/>
</calcChain>
</file>

<file path=xl/sharedStrings.xml><?xml version="1.0" encoding="utf-8"?>
<sst xmlns="http://schemas.openxmlformats.org/spreadsheetml/2006/main" count="1195" uniqueCount="623">
  <si>
    <t>07/08/2026</t>
  </si>
  <si>
    <t>DEJADA</t>
  </si>
  <si>
    <t>COMISION</t>
  </si>
  <si>
    <t>VENTA</t>
  </si>
  <si>
    <t>TOTAL DE GASTOS</t>
  </si>
  <si>
    <t>TIKET PROMEDIO</t>
  </si>
  <si>
    <t>PORCENTAJE DE GASTO</t>
  </si>
  <si>
    <t/>
  </si>
  <si>
    <t>PAX</t>
  </si>
  <si>
    <t>ENTRARON</t>
  </si>
  <si>
    <t>SALIERON</t>
  </si>
  <si>
    <t>UNIDADES</t>
  </si>
  <si>
    <t>TAXIS VERDES</t>
  </si>
  <si>
    <t>TAXIS ROJOS</t>
  </si>
  <si>
    <t>TAXIS AZUL</t>
  </si>
  <si>
    <t>TAXIS CAFE</t>
  </si>
  <si>
    <t>$ -</t>
  </si>
  <si>
    <t>-</t>
  </si>
  <si>
    <t>UBER</t>
  </si>
  <si>
    <t>UBER ALIANZA</t>
  </si>
  <si>
    <t>MAJESTIC</t>
  </si>
  <si>
    <t>SALMORAN</t>
  </si>
  <si>
    <t>TURIBUS ADO</t>
  </si>
  <si>
    <t>TRAVEL EXPERIENCE</t>
  </si>
  <si>
    <t>CALLE</t>
  </si>
  <si>
    <t>TRANSPORTADORAS</t>
  </si>
  <si>
    <t>AUTOCAR</t>
  </si>
  <si>
    <t>MAYA CARIBE</t>
  </si>
  <si>
    <t>TURICUN</t>
  </si>
  <si>
    <t>CONTROL DEJADAS</t>
  </si>
  <si>
    <t>07/08/2026 al 07/08/2026</t>
  </si>
  <si>
    <t>Registros</t>
  </si>
  <si>
    <t>Dejada total</t>
  </si>
  <si>
    <t>Venta total</t>
  </si>
  <si>
    <t>FECHA</t>
  </si>
  <si>
    <t>FOLIO</t>
  </si>
  <si>
    <t>HORA</t>
  </si>
  <si>
    <t>NOMBRE</t>
  </si>
  <si>
    <t>VENDEDOR</t>
  </si>
  <si>
    <t>UNIDAD</t>
  </si>
  <si>
    <t>NUMERO</t>
  </si>
  <si>
    <t>ORIGEN</t>
  </si>
  <si>
    <t>SITIO/HOTEL</t>
  </si>
  <si>
    <t>ADULTO</t>
  </si>
  <si>
    <t>JOVEN</t>
  </si>
  <si>
    <t>NINO</t>
  </si>
  <si>
    <t>IMPORTE DEJADA</t>
  </si>
  <si>
    <t>TELEFONO</t>
  </si>
  <si>
    <t>ESTATUS DEJADA</t>
  </si>
  <si>
    <t>FECHA PAGO DEJADA</t>
  </si>
  <si>
    <t>PAGO COMISION</t>
  </si>
  <si>
    <t>ESTATUS COMISION</t>
  </si>
  <si>
    <t>TICKET</t>
  </si>
  <si>
    <t>TAXISTA ID</t>
  </si>
  <si>
    <t>GAFETE</t>
  </si>
  <si>
    <t>NACIONALIDAD</t>
  </si>
  <si>
    <t>3600</t>
  </si>
  <si>
    <t>AMSTAR MIGUEL GUIA: JAPHET</t>
  </si>
  <si>
    <t>RIF-02</t>
  </si>
  <si>
    <t>SECRETS MIRABEL</t>
  </si>
  <si>
    <t>Tienda Plaza 28</t>
  </si>
  <si>
    <t>S/N</t>
  </si>
  <si>
    <t>pagado</t>
  </si>
  <si>
    <t>2026-08-07 08:17:33</t>
  </si>
  <si>
    <t>PENDIENTE</t>
  </si>
  <si>
    <t>BX14263657777 $6,300.00
BD14265422016 $1,172.50
BD14265222015 $962.50</t>
  </si>
  <si>
    <t>0</t>
  </si>
  <si>
    <t>262, 271</t>
  </si>
  <si>
    <t>EXTRANJEROS</t>
  </si>
  <si>
    <t>3601</t>
  </si>
  <si>
    <t>AMSTAR  JAGGER GUIA: JAPHET</t>
  </si>
  <si>
    <t>RF-02</t>
  </si>
  <si>
    <t>SECRETS THE VINE</t>
  </si>
  <si>
    <t>2026-08-07 08:24:27</t>
  </si>
  <si>
    <t>BA14265130357 $787.50
BA14265030356 $87.50</t>
  </si>
  <si>
    <t>236</t>
  </si>
  <si>
    <t>3602</t>
  </si>
  <si>
    <t>DAVID ESTRADA</t>
  </si>
  <si>
    <t>JOSE VALENTIN</t>
  </si>
  <si>
    <t>VAN VERDE</t>
  </si>
  <si>
    <t>5991</t>
  </si>
  <si>
    <t>TEMPTATION</t>
  </si>
  <si>
    <t>9981475273</t>
  </si>
  <si>
    <t>2026-08-07 10:00:18</t>
  </si>
  <si>
    <t>SIN CALCULAR</t>
  </si>
  <si>
    <t>900000597</t>
  </si>
  <si>
    <t>251, 218, 209</t>
  </si>
  <si>
    <t>3605</t>
  </si>
  <si>
    <t>ERICK DURAN</t>
  </si>
  <si>
    <t>TAXI VERDE</t>
  </si>
  <si>
    <t>2029</t>
  </si>
  <si>
    <t>9983867051</t>
  </si>
  <si>
    <t>2026-08-07 10:26:57</t>
  </si>
  <si>
    <t>900000317</t>
  </si>
  <si>
    <t>225, 200, 255</t>
  </si>
  <si>
    <t>3603</t>
  </si>
  <si>
    <t>LUIS VILLANUEVA</t>
  </si>
  <si>
    <t>5135</t>
  </si>
  <si>
    <t>CANCUN BAY</t>
  </si>
  <si>
    <t>9987050960</t>
  </si>
  <si>
    <t>2026-08-07 10:22:51</t>
  </si>
  <si>
    <t>BA14258030320 $1,800.00</t>
  </si>
  <si>
    <t>900001215</t>
  </si>
  <si>
    <t>254, 259, 246</t>
  </si>
  <si>
    <t>3604</t>
  </si>
  <si>
    <t>ALEX POLANCO</t>
  </si>
  <si>
    <t>VAN TRANSPORTADORA</t>
  </si>
  <si>
    <t>UUE-472-P</t>
  </si>
  <si>
    <t>WESTIN RESORT</t>
  </si>
  <si>
    <t>9984853985</t>
  </si>
  <si>
    <t>2026-08-07 10:25:31</t>
  </si>
  <si>
    <t>900000374</t>
  </si>
  <si>
    <t>203, 240, 192</t>
  </si>
  <si>
    <t>3606</t>
  </si>
  <si>
    <t>PANCHO RODRIGUEZ</t>
  </si>
  <si>
    <t>CESAR HAJLTON CETZ TABAREZ</t>
  </si>
  <si>
    <t>9987437093</t>
  </si>
  <si>
    <t>2026-08-07 10:27:35</t>
  </si>
  <si>
    <t>900000534</t>
  </si>
  <si>
    <t>241</t>
  </si>
  <si>
    <t>EXRANJEROS</t>
  </si>
  <si>
    <t>3607</t>
  </si>
  <si>
    <t>GENER ALAMILLA</t>
  </si>
  <si>
    <t>ZENAYDA VAZQUEZ</t>
  </si>
  <si>
    <t>TAXI AZUL</t>
  </si>
  <si>
    <t>2965</t>
  </si>
  <si>
    <t>HM PLAYA DEL CARMEN</t>
  </si>
  <si>
    <t>9618009979</t>
  </si>
  <si>
    <t>2026-08-07 10:32:35</t>
  </si>
  <si>
    <t>BX14261057774 $2,200.00
BA14260830335 $390.00</t>
  </si>
  <si>
    <t>14473</t>
  </si>
  <si>
    <t>244, 184, 238</t>
  </si>
  <si>
    <t>3609</t>
  </si>
  <si>
    <t>FLORENCIO US</t>
  </si>
  <si>
    <t>4937</t>
  </si>
  <si>
    <t>FORUM</t>
  </si>
  <si>
    <t>9981596846</t>
  </si>
  <si>
    <t>2026-08-07 10:45:41</t>
  </si>
  <si>
    <t>900001090</t>
  </si>
  <si>
    <t>213, 263, 234</t>
  </si>
  <si>
    <t>3610</t>
  </si>
  <si>
    <t>MARCO AVILA</t>
  </si>
  <si>
    <t>8352</t>
  </si>
  <si>
    <t>OASIS PALM BEACH</t>
  </si>
  <si>
    <t>Plaza 28</t>
  </si>
  <si>
    <t>9981575000</t>
  </si>
  <si>
    <t>2026-08-07 10:58:47</t>
  </si>
  <si>
    <t>10111</t>
  </si>
  <si>
    <t>272, 257</t>
  </si>
  <si>
    <t>3608</t>
  </si>
  <si>
    <t>LIZBETH REYES</t>
  </si>
  <si>
    <t>7825</t>
  </si>
  <si>
    <t>GRAN OASIS CANCUN</t>
  </si>
  <si>
    <t>9881032025</t>
  </si>
  <si>
    <t>2026-08-07 10:35:53</t>
  </si>
  <si>
    <t>900002984</t>
  </si>
  <si>
    <t>273</t>
  </si>
  <si>
    <t>3622</t>
  </si>
  <si>
    <t>MARCO AVILA PAPA</t>
  </si>
  <si>
    <t>6216</t>
  </si>
  <si>
    <t>9845932844</t>
  </si>
  <si>
    <t>2026-08-07 11:55:54</t>
  </si>
  <si>
    <t>BD14262822009 $4,434.00
BD14262622008 $1,206.00</t>
  </si>
  <si>
    <t>900000064</t>
  </si>
  <si>
    <t>199, 264, 209</t>
  </si>
  <si>
    <t>NACIONALES</t>
  </si>
  <si>
    <t>3611</t>
  </si>
  <si>
    <t>SERGIO NAJAR</t>
  </si>
  <si>
    <t>UVP-986-J</t>
  </si>
  <si>
    <t>MAJESTIC MIRAGE</t>
  </si>
  <si>
    <t>5524434343</t>
  </si>
  <si>
    <t>2026-08-07 11:03:51</t>
  </si>
  <si>
    <t>900002965</t>
  </si>
  <si>
    <t>277, 269, 207</t>
  </si>
  <si>
    <t>3613</t>
  </si>
  <si>
    <t>JOSE LUIS CAHUICH</t>
  </si>
  <si>
    <t>MARCOS POOL</t>
  </si>
  <si>
    <t>5574</t>
  </si>
  <si>
    <t>RIU CANCUN</t>
  </si>
  <si>
    <t>9981729194</t>
  </si>
  <si>
    <t>2026-08-07 11:18:18</t>
  </si>
  <si>
    <t>900000309</t>
  </si>
  <si>
    <t>246, 229, 250</t>
  </si>
  <si>
    <t>3612</t>
  </si>
  <si>
    <t>GILBERT GUZMAN</t>
  </si>
  <si>
    <t>1930</t>
  </si>
  <si>
    <t>PRESIDENTE</t>
  </si>
  <si>
    <t>9988451112</t>
  </si>
  <si>
    <t>2026-08-07 11:07:13</t>
  </si>
  <si>
    <t>243</t>
  </si>
  <si>
    <t>230, 216, 252</t>
  </si>
  <si>
    <t>3614</t>
  </si>
  <si>
    <t>ALFREDO PRIETO</t>
  </si>
  <si>
    <t>8138</t>
  </si>
  <si>
    <t>DREAMS SANDS</t>
  </si>
  <si>
    <t>9982406566</t>
  </si>
  <si>
    <t>2026-08-07 11:19:42</t>
  </si>
  <si>
    <t>900000349</t>
  </si>
  <si>
    <t>222, 207, 213</t>
  </si>
  <si>
    <t>3615</t>
  </si>
  <si>
    <t>DAVID LAGUNEZ</t>
  </si>
  <si>
    <t>5769</t>
  </si>
  <si>
    <t>CANCUN PLAZA</t>
  </si>
  <si>
    <t>9982771262</t>
  </si>
  <si>
    <t>2026-08-07 11:28:32</t>
  </si>
  <si>
    <t>900000075</t>
  </si>
  <si>
    <t>243, 208, 169</t>
  </si>
  <si>
    <t>3616</t>
  </si>
  <si>
    <t>CARLOS HERRERA</t>
  </si>
  <si>
    <t>ZAA-379-E</t>
  </si>
  <si>
    <t>PLANET HOLLYWOOD</t>
  </si>
  <si>
    <t>9981144220</t>
  </si>
  <si>
    <t>2026-08-07 11:32:39</t>
  </si>
  <si>
    <t>900000937</t>
  </si>
  <si>
    <t>278, 207, 217</t>
  </si>
  <si>
    <t>3617</t>
  </si>
  <si>
    <t>EFREN ORTEGA</t>
  </si>
  <si>
    <t>UTL-714-P</t>
  </si>
  <si>
    <t>RIU PALACE COSTA</t>
  </si>
  <si>
    <t>9982307918</t>
  </si>
  <si>
    <t>2026-08-07 11:36:58</t>
  </si>
  <si>
    <t>900000604</t>
  </si>
  <si>
    <t>215, 258, 222</t>
  </si>
  <si>
    <t>3618</t>
  </si>
  <si>
    <t>FRED MONTALVO</t>
  </si>
  <si>
    <t>…0866</t>
  </si>
  <si>
    <t>RIU VENTURA</t>
  </si>
  <si>
    <t>9984630585</t>
  </si>
  <si>
    <t>2026-08-07 11:38:53</t>
  </si>
  <si>
    <t>BD14261122004 $1,095.00</t>
  </si>
  <si>
    <t>900000395</t>
  </si>
  <si>
    <t>205, 250, 193</t>
  </si>
  <si>
    <t>3624</t>
  </si>
  <si>
    <t>CRISTOBAL VAZQUEZ</t>
  </si>
  <si>
    <t>VICTOR HOIL</t>
  </si>
  <si>
    <t>TAXI ROJO</t>
  </si>
  <si>
    <t>397</t>
  </si>
  <si>
    <t>MAJESTIC ELEGANCE</t>
  </si>
  <si>
    <t>9981082205</t>
  </si>
  <si>
    <t>2026-08-07 12:12:32</t>
  </si>
  <si>
    <t>900001810</t>
  </si>
  <si>
    <t>272, 273, 203</t>
  </si>
  <si>
    <t>3619</t>
  </si>
  <si>
    <t>ROBERTO ALVAREZ</t>
  </si>
  <si>
    <t>7847</t>
  </si>
  <si>
    <t>HYATT ZILARA</t>
  </si>
  <si>
    <t>9983072590</t>
  </si>
  <si>
    <t>2026-08-07 11:47:43</t>
  </si>
  <si>
    <t>BA14261830340 $1,980.00
BA14261930341 $734.00</t>
  </si>
  <si>
    <t>900002910</t>
  </si>
  <si>
    <t>269, 225, 246</t>
  </si>
  <si>
    <t>3620</t>
  </si>
  <si>
    <t>GENER GAMBOA</t>
  </si>
  <si>
    <t>E-011</t>
  </si>
  <si>
    <t>CROWN PARADISE</t>
  </si>
  <si>
    <t>9981503985</t>
  </si>
  <si>
    <t>2026-08-07 11:52:07</t>
  </si>
  <si>
    <t>900000235</t>
  </si>
  <si>
    <t>234, 263, 226</t>
  </si>
  <si>
    <t>3621</t>
  </si>
  <si>
    <t>RICARDO DIAZ</t>
  </si>
  <si>
    <t>8465</t>
  </si>
  <si>
    <t>MOON PALACE</t>
  </si>
  <si>
    <t>9983386558</t>
  </si>
  <si>
    <t>2026-08-07 11:55:26</t>
  </si>
  <si>
    <t>BA14263230346 $3,570.00
BA14263130345 $460.00</t>
  </si>
  <si>
    <t>10576</t>
  </si>
  <si>
    <t>192, 218, 229</t>
  </si>
  <si>
    <t>3627</t>
  </si>
  <si>
    <t>JOSEPH NOH</t>
  </si>
  <si>
    <t>CRISTOBAL MEX</t>
  </si>
  <si>
    <t>5920</t>
  </si>
  <si>
    <t>WESTING LAGUNA MAR</t>
  </si>
  <si>
    <t>9981562638</t>
  </si>
  <si>
    <t>2026-08-07 12:22:29</t>
  </si>
  <si>
    <t>900000178</t>
  </si>
  <si>
    <t>218, 205, 217</t>
  </si>
  <si>
    <t>3623</t>
  </si>
  <si>
    <t>LEANDRO CHAN</t>
  </si>
  <si>
    <t>UVR-679-N</t>
  </si>
  <si>
    <t>9981900247</t>
  </si>
  <si>
    <t>2026-08-07 12:11:50</t>
  </si>
  <si>
    <t>900002258</t>
  </si>
  <si>
    <t>238, 214, 211</t>
  </si>
  <si>
    <t>3625</t>
  </si>
  <si>
    <t>UVF-325-R</t>
  </si>
  <si>
    <t>2026-08-07 12:18:03</t>
  </si>
  <si>
    <t>229, 264, 199</t>
  </si>
  <si>
    <t>3628</t>
  </si>
  <si>
    <t>FELIPE HAU</t>
  </si>
  <si>
    <t>MANUEL DE JESUS MORALES</t>
  </si>
  <si>
    <t>6894</t>
  </si>
  <si>
    <t>FLAMINGOS</t>
  </si>
  <si>
    <t>9981200022</t>
  </si>
  <si>
    <t>2026-08-07 12:22:42</t>
  </si>
  <si>
    <t>900000114</t>
  </si>
  <si>
    <t>215, 250, 234</t>
  </si>
  <si>
    <t>3626</t>
  </si>
  <si>
    <t>PARK ROYAL</t>
  </si>
  <si>
    <t>2026-08-07 12:19:38</t>
  </si>
  <si>
    <t>227</t>
  </si>
  <si>
    <t>3629</t>
  </si>
  <si>
    <t>MARCO ANTONIO CABALLERO</t>
  </si>
  <si>
    <t>3217</t>
  </si>
  <si>
    <t>OCEAN CANCUN</t>
  </si>
  <si>
    <t>9985405410</t>
  </si>
  <si>
    <t>2026-08-07 12:34:42</t>
  </si>
  <si>
    <t>900000557</t>
  </si>
  <si>
    <t>193, 273, 217</t>
  </si>
  <si>
    <t>3630</t>
  </si>
  <si>
    <t>GENER COHUO</t>
  </si>
  <si>
    <t>UVY-867-N</t>
  </si>
  <si>
    <t>9981362735</t>
  </si>
  <si>
    <t>2026-08-07 12:40:00</t>
  </si>
  <si>
    <t>14474</t>
  </si>
  <si>
    <t>215, 238, 272</t>
  </si>
  <si>
    <t>3631</t>
  </si>
  <si>
    <t>MARCOS CUPUL</t>
  </si>
  <si>
    <t>8175</t>
  </si>
  <si>
    <t>9987343646</t>
  </si>
  <si>
    <t>2026-08-07 12:45:21</t>
  </si>
  <si>
    <t>14284</t>
  </si>
  <si>
    <t>216, 211, 226</t>
  </si>
  <si>
    <t>3632</t>
  </si>
  <si>
    <t>GUILLERMO UITZIL</t>
  </si>
  <si>
    <t>JOSHUA HEREDIA</t>
  </si>
  <si>
    <t>SANDOS PLAYACAR</t>
  </si>
  <si>
    <t>9981440434</t>
  </si>
  <si>
    <t>2026-08-07 13:11:01</t>
  </si>
  <si>
    <t>BD14265922018 $855.00
BD14265722017 $560.00</t>
  </si>
  <si>
    <t>12976</t>
  </si>
  <si>
    <t>200, 277, 230</t>
  </si>
  <si>
    <t>3633</t>
  </si>
  <si>
    <t>JOSE LUIS CAUICH</t>
  </si>
  <si>
    <t>BARCELOTO CANCUN</t>
  </si>
  <si>
    <t>2026-08-07 13:26:44</t>
  </si>
  <si>
    <t>900000967</t>
  </si>
  <si>
    <t>214, 243, 199</t>
  </si>
  <si>
    <t>3634</t>
  </si>
  <si>
    <t>DAVID TORRES</t>
  </si>
  <si>
    <t>LUIS CRUZ</t>
  </si>
  <si>
    <t>7083</t>
  </si>
  <si>
    <t>SLS PUERTO CANCUN</t>
  </si>
  <si>
    <t>9997062883</t>
  </si>
  <si>
    <t>2026-08-07 13:30:00</t>
  </si>
  <si>
    <t>BA14267330368 $1,299.00
BA14267230367 $456.00</t>
  </si>
  <si>
    <t>900000044</t>
  </si>
  <si>
    <t>216, 257, 251</t>
  </si>
  <si>
    <t>3636</t>
  </si>
  <si>
    <t>ROASLINO VIRUEL</t>
  </si>
  <si>
    <t>UVL-443-M</t>
  </si>
  <si>
    <t>SECRETS</t>
  </si>
  <si>
    <t>7441763639</t>
  </si>
  <si>
    <t>2026-08-07 14:13:53</t>
  </si>
  <si>
    <t>BA14268230373 $7,785.00
BX14267857778 $3,540.00
BA14268130372 $565.00</t>
  </si>
  <si>
    <t>797</t>
  </si>
  <si>
    <t>217, 169, 213, 203</t>
  </si>
  <si>
    <t>3635</t>
  </si>
  <si>
    <t>HUGO PEREIRA</t>
  </si>
  <si>
    <t>WESTIN REGINA</t>
  </si>
  <si>
    <t>2026-08-07 14:02:54</t>
  </si>
  <si>
    <t>250, 225, 209</t>
  </si>
  <si>
    <t>3638</t>
  </si>
  <si>
    <t>CARLOS GIRON</t>
  </si>
  <si>
    <t>YFV-257-0</t>
  </si>
  <si>
    <t>RIU PALACE COSTA MUJERES</t>
  </si>
  <si>
    <t>9982159601</t>
  </si>
  <si>
    <t>2026-08-07 14:31:38</t>
  </si>
  <si>
    <t>900002822</t>
  </si>
  <si>
    <t>275, 244, 241</t>
  </si>
  <si>
    <t>3637</t>
  </si>
  <si>
    <t>VICTOR AVALOS</t>
  </si>
  <si>
    <t>UVM-892-R</t>
  </si>
  <si>
    <t>BREATLHESS RIVIERA CANCUN</t>
  </si>
  <si>
    <t>9983958564</t>
  </si>
  <si>
    <t>2026-08-07 14:27:57</t>
  </si>
  <si>
    <t>14314</t>
  </si>
  <si>
    <t>184, 203, 253</t>
  </si>
  <si>
    <t>3639</t>
  </si>
  <si>
    <t>GERARDO LOPEZ</t>
  </si>
  <si>
    <t>UVH-613-R</t>
  </si>
  <si>
    <t>9982439405</t>
  </si>
  <si>
    <t>2026-08-07 14:59:19</t>
  </si>
  <si>
    <t>BA14270630380 $7,608.00
BX14268357779 $1,925.00
BA14270730381 $892.00</t>
  </si>
  <si>
    <t>14448</t>
  </si>
  <si>
    <t>259, 254, 255</t>
  </si>
  <si>
    <t>3642</t>
  </si>
  <si>
    <t>GABRIEL GUZMAN</t>
  </si>
  <si>
    <t>939</t>
  </si>
  <si>
    <t>VILLAS DEL PALMAR</t>
  </si>
  <si>
    <t>6184285109</t>
  </si>
  <si>
    <t>2026-08-07 15:14:20</t>
  </si>
  <si>
    <t>BD14269222025 $800.00
BD14269122024 $774.00</t>
  </si>
  <si>
    <t>900000493</t>
  </si>
  <si>
    <t>251, 240, 207</t>
  </si>
  <si>
    <t>3640</t>
  </si>
  <si>
    <t>EMILIO ALMEIDA</t>
  </si>
  <si>
    <t>ZVK-923-G</t>
  </si>
  <si>
    <t>HILTON CANCUN</t>
  </si>
  <si>
    <t>9981816488</t>
  </si>
  <si>
    <t>2026-08-07 15:04:36</t>
  </si>
  <si>
    <t>900000455</t>
  </si>
  <si>
    <t>273, 218, 247</t>
  </si>
  <si>
    <t>3641</t>
  </si>
  <si>
    <t>ERWIN SALGADO</t>
  </si>
  <si>
    <t>3384</t>
  </si>
  <si>
    <t>SLS</t>
  </si>
  <si>
    <t>9984431606</t>
  </si>
  <si>
    <t>2026-08-07 15:09:21</t>
  </si>
  <si>
    <t>BX14270957785 $5,040.00
BD14268922022 $2,310.00
BD14269022023 $810.00</t>
  </si>
  <si>
    <t>900000027</t>
  </si>
  <si>
    <t>192, 258, 208</t>
  </si>
  <si>
    <t>3643</t>
  </si>
  <si>
    <t>SANTIAGO NAVARRETE</t>
  </si>
  <si>
    <t>USK-389-P</t>
  </si>
  <si>
    <t>GRAN OASIS PALM</t>
  </si>
  <si>
    <t>9986561919</t>
  </si>
  <si>
    <t>2026-08-07 15:41:28</t>
  </si>
  <si>
    <t>900000545</t>
  </si>
  <si>
    <t>225, 257, 209</t>
  </si>
  <si>
    <t>3644</t>
  </si>
  <si>
    <t>EDUARDO SONDA</t>
  </si>
  <si>
    <t>2808</t>
  </si>
  <si>
    <t>PLAZA LA ISLA</t>
  </si>
  <si>
    <t>9981253457</t>
  </si>
  <si>
    <t>2026-08-07 16:02:23</t>
  </si>
  <si>
    <t>BX14269757781 $510.00
BX14269657780 $80.00</t>
  </si>
  <si>
    <t>14475</t>
  </si>
  <si>
    <t>222, 252, 215</t>
  </si>
  <si>
    <t>3645</t>
  </si>
  <si>
    <t>ALFREFO JIMENEZ</t>
  </si>
  <si>
    <t>8231</t>
  </si>
  <si>
    <t>SEADUST</t>
  </si>
  <si>
    <t>9986952863</t>
  </si>
  <si>
    <t>2026-08-07 16:07:08</t>
  </si>
  <si>
    <t>BA14269530377 $508.00
BA14269430376 $317.00</t>
  </si>
  <si>
    <t>900000991</t>
  </si>
  <si>
    <t>253, 230, 169</t>
  </si>
  <si>
    <t>3646</t>
  </si>
  <si>
    <t>ROMAN CRUZ</t>
  </si>
  <si>
    <t>UVD-936-N</t>
  </si>
  <si>
    <t>RIU CARIBE</t>
  </si>
  <si>
    <t>9983485996</t>
  </si>
  <si>
    <t>2026-08-07 16:17:11</t>
  </si>
  <si>
    <t>900000335</t>
  </si>
  <si>
    <t>238, 227, 205</t>
  </si>
  <si>
    <t>3647</t>
  </si>
  <si>
    <t>RAUL ACOSTA</t>
  </si>
  <si>
    <t>ANTONIO AGUIRRE</t>
  </si>
  <si>
    <t>4920</t>
  </si>
  <si>
    <t>9982383971</t>
  </si>
  <si>
    <t>2026-08-07 16:18:10</t>
  </si>
  <si>
    <t>900000112</t>
  </si>
  <si>
    <t>240, 214, 200</t>
  </si>
  <si>
    <t>3648</t>
  </si>
  <si>
    <t>DAVID LOPEZ</t>
  </si>
  <si>
    <t>OCCIDENTAL CANCUN</t>
  </si>
  <si>
    <t>9984873540</t>
  </si>
  <si>
    <t>2026-08-07 16:19:22</t>
  </si>
  <si>
    <t>3376</t>
  </si>
  <si>
    <t>264, 234, 273</t>
  </si>
  <si>
    <t>3649</t>
  </si>
  <si>
    <t>ANGEL GARCIA</t>
  </si>
  <si>
    <t>8058</t>
  </si>
  <si>
    <t>GRAND OASIS</t>
  </si>
  <si>
    <t>9981207709</t>
  </si>
  <si>
    <t>2026-08-07 16:33:38</t>
  </si>
  <si>
    <t>10702</t>
  </si>
  <si>
    <t>278, 193, 211</t>
  </si>
  <si>
    <t>3652</t>
  </si>
  <si>
    <t>JOSE MANUEL VILLALOBOS</t>
  </si>
  <si>
    <t>1537</t>
  </si>
  <si>
    <t>SECRETS DIBAYD</t>
  </si>
  <si>
    <t>9985213383</t>
  </si>
  <si>
    <t>2026-08-07 17:22:08</t>
  </si>
  <si>
    <t>900001643</t>
  </si>
  <si>
    <t>269, 273, 258</t>
  </si>
  <si>
    <t>3650</t>
  </si>
  <si>
    <t>CARLOS GONZALES</t>
  </si>
  <si>
    <t>YWM-228-E</t>
  </si>
  <si>
    <t>SUN SCAPE</t>
  </si>
  <si>
    <t>9981989368</t>
  </si>
  <si>
    <t>2026-08-07 16:55:15</t>
  </si>
  <si>
    <t>BX14270857784 $2,625.00</t>
  </si>
  <si>
    <t>10053</t>
  </si>
  <si>
    <t>255, 247, 241</t>
  </si>
  <si>
    <t>3651</t>
  </si>
  <si>
    <t>Alberto Alvarez</t>
  </si>
  <si>
    <t>UVF-160-L</t>
  </si>
  <si>
    <t>GRAND PARK ROYAL</t>
  </si>
  <si>
    <t>2026-08-07 17:10:11</t>
  </si>
  <si>
    <t>BA14271830386 $3,590.00</t>
  </si>
  <si>
    <t>278, 214, 230</t>
  </si>
  <si>
    <t>3653</t>
  </si>
  <si>
    <t>ELIAS GARCIA</t>
  </si>
  <si>
    <t>6280</t>
  </si>
  <si>
    <t>TEMTATION</t>
  </si>
  <si>
    <t>9984096829</t>
  </si>
  <si>
    <t>2026-08-07 17:24:16</t>
  </si>
  <si>
    <t>BA14271130382 $500.00</t>
  </si>
  <si>
    <t>900000792</t>
  </si>
  <si>
    <t>253, 251, 208</t>
  </si>
  <si>
    <t>3654</t>
  </si>
  <si>
    <t>MANUEL OSORIO</t>
  </si>
  <si>
    <t>WYNDHAM GARDEN CANCUN</t>
  </si>
  <si>
    <t>9981956148</t>
  </si>
  <si>
    <t>2026-08-07 17:33:24</t>
  </si>
  <si>
    <t>12838</t>
  </si>
  <si>
    <t>263, 240, 213</t>
  </si>
  <si>
    <t>3656</t>
  </si>
  <si>
    <t>GUILLERMO NUÑEZ</t>
  </si>
  <si>
    <t>YORVELIT GOMEZ GARCIA PLAZA28</t>
  </si>
  <si>
    <t>140</t>
  </si>
  <si>
    <t>GRAND OASIS PALM</t>
  </si>
  <si>
    <t>9984662491</t>
  </si>
  <si>
    <t>2026-08-07 17:46:32</t>
  </si>
  <si>
    <t>900000701</t>
  </si>
  <si>
    <t>272, 207, 227</t>
  </si>
  <si>
    <t>3655</t>
  </si>
  <si>
    <t>LENIN PEREZ AGUILAR</t>
  </si>
  <si>
    <t>JOSHUA HEREDIA FLORES</t>
  </si>
  <si>
    <t>PAC-242_B</t>
  </si>
  <si>
    <t>Oasis PALM Beach</t>
  </si>
  <si>
    <t>9984899156</t>
  </si>
  <si>
    <t>2026-08-07 17:43:47</t>
  </si>
  <si>
    <t>14308</t>
  </si>
  <si>
    <t>246, 244, 215</t>
  </si>
  <si>
    <t>3657</t>
  </si>
  <si>
    <t>JOSE RODRIGUEZ</t>
  </si>
  <si>
    <t>URJ-987-P</t>
  </si>
  <si>
    <t>QUINTAS DEL MAR</t>
  </si>
  <si>
    <t>9986160083</t>
  </si>
  <si>
    <t>2026-08-07 17:48:18</t>
  </si>
  <si>
    <t>14476</t>
  </si>
  <si>
    <t>222, 184, 218</t>
  </si>
  <si>
    <t>3658</t>
  </si>
  <si>
    <t>WILBERT CAMAL</t>
  </si>
  <si>
    <t>ALIANZA</t>
  </si>
  <si>
    <t>UVJ-630-N</t>
  </si>
  <si>
    <t>9987585672</t>
  </si>
  <si>
    <t>2026-08-07 17:53:39</t>
  </si>
  <si>
    <t>BA14272330390 $1,895.00</t>
  </si>
  <si>
    <t>14477</t>
  </si>
  <si>
    <t>192, 199, 238</t>
  </si>
  <si>
    <t>COLOMBIA</t>
  </si>
  <si>
    <t>3659</t>
  </si>
  <si>
    <t>ELISEO SANCHEZ</t>
  </si>
  <si>
    <t>8331</t>
  </si>
  <si>
    <t>9982422012</t>
  </si>
  <si>
    <t>2026-08-07 18:11:52</t>
  </si>
  <si>
    <t>900000959</t>
  </si>
  <si>
    <t>184</t>
  </si>
  <si>
    <t>GRINGOS</t>
  </si>
  <si>
    <t>3660</t>
  </si>
  <si>
    <t>FERNANDO GUARDARRAMA</t>
  </si>
  <si>
    <t>7147</t>
  </si>
  <si>
    <t>WESTING REGINA</t>
  </si>
  <si>
    <t>9983964676</t>
  </si>
  <si>
    <t>2026-08-07 18:15:42</t>
  </si>
  <si>
    <t>900000248</t>
  </si>
  <si>
    <t>ITALIANOS</t>
  </si>
  <si>
    <t>3661</t>
  </si>
  <si>
    <t>2026-08-07 18:14:55</t>
  </si>
  <si>
    <t>BA14271930387 $150.00</t>
  </si>
  <si>
    <t>238, 199, 218</t>
  </si>
  <si>
    <t>NACIONAL</t>
  </si>
  <si>
    <t>3662</t>
  </si>
  <si>
    <t>ROGELIO PIMIENTA</t>
  </si>
  <si>
    <t>986</t>
  </si>
  <si>
    <t>OASIS CROWN</t>
  </si>
  <si>
    <t>9981950535</t>
  </si>
  <si>
    <t>2026-08-07 18:21:21</t>
  </si>
  <si>
    <t>900003448</t>
  </si>
  <si>
    <t>218</t>
  </si>
  <si>
    <t>3663</t>
  </si>
  <si>
    <t>JOSE MARQUEZ</t>
  </si>
  <si>
    <t>..0896</t>
  </si>
  <si>
    <t>BEACH SCAPE</t>
  </si>
  <si>
    <t>9981883274</t>
  </si>
  <si>
    <t>2026-08-07 18:23:43</t>
  </si>
  <si>
    <t>900000011</t>
  </si>
  <si>
    <t>246</t>
  </si>
  <si>
    <t>COLOMBIANOS</t>
  </si>
  <si>
    <t>3664</t>
  </si>
  <si>
    <t>MANUEL ANTONIO MAY</t>
  </si>
  <si>
    <t>8176</t>
  </si>
  <si>
    <t>MARRIOT</t>
  </si>
  <si>
    <t>9981184379</t>
  </si>
  <si>
    <t>2026-08-07 18:37:26</t>
  </si>
  <si>
    <t>900000301</t>
  </si>
  <si>
    <t>169</t>
  </si>
  <si>
    <t>3665</t>
  </si>
  <si>
    <t>PEDRO CALDERON</t>
  </si>
  <si>
    <t>4769</t>
  </si>
  <si>
    <t>9981848917</t>
  </si>
  <si>
    <t>2026-08-07 19:12:46</t>
  </si>
  <si>
    <t>900000860</t>
  </si>
  <si>
    <t>215, 269, 272</t>
  </si>
  <si>
    <t>3666</t>
  </si>
  <si>
    <t>LUIS GONZALEZ</t>
  </si>
  <si>
    <t>9981929393</t>
  </si>
  <si>
    <t>2026-08-07 19:20:50</t>
  </si>
  <si>
    <t>8356</t>
  </si>
  <si>
    <t>244, 207</t>
  </si>
  <si>
    <t>TOTAL DEJADAS</t>
  </si>
  <si>
    <t>REPORTE HOTELES</t>
  </si>
  <si>
    <t>HOTEL</t>
  </si>
  <si>
    <t>PAGO</t>
  </si>
  <si>
    <t>COMISIONES</t>
  </si>
  <si>
    <t>TAXISTA</t>
  </si>
  <si>
    <t>PAGADO</t>
  </si>
  <si>
    <t>SALDO</t>
  </si>
  <si>
    <t>ESTATUS</t>
  </si>
  <si>
    <t>CORTE FINAL</t>
  </si>
  <si>
    <t>EFECTIVO</t>
  </si>
  <si>
    <t>TARJETA</t>
  </si>
  <si>
    <t>PAGOS</t>
  </si>
  <si>
    <t>GASTOS</t>
  </si>
  <si>
    <t>ESPERADO</t>
  </si>
  <si>
    <t>CONTADO</t>
  </si>
  <si>
    <t>DIFERENCIA</t>
  </si>
  <si>
    <t>GUIA</t>
  </si>
  <si>
    <t>registros de camiones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</si>
</sst>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B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9" fontId="1" fillId="4" borderId="1" xfId="0" applyNumberFormat="1" applyFont="1" applyFill="1" applyBorder="1"/>
    <xf numFmtId="164" fontId="0" fillId="0" borderId="1" xfId="0" applyNumberFormat="1" applyBorder="1"/>
    <xf numFmtId="9" fontId="0" fillId="0" borderId="1" xfId="0" applyNumberFormat="1" applyBorder="1"/>
    <xf numFmtId="0" fontId="1" fillId="5" borderId="1" xfId="0" applyFont="1" applyFill="1" applyBorder="1"/>
    <xf numFmtId="164" fontId="1" fillId="5" borderId="1" xfId="0" applyNumberFormat="1" applyFont="1" applyFill="1" applyBorder="1"/>
    <xf numFmtId="3" fontId="0" fillId="0" borderId="1" xfId="0" applyNumberFormat="1" applyBorder="1"/>
    <xf numFmtId="3" fontId="1" fillId="4" borderId="1" xfId="0" applyNumberFormat="1" applyFont="1" applyFill="1" applyBorder="1"/>
    <xf numFmtId="44" fontId="0" fillId="0" borderId="1" xfId="1" applyFont="1" applyBorder="1"/>
    <xf numFmtId="44" fontId="1" fillId="4" borderId="1" xfId="0" applyNumberFormat="1" applyFont="1" applyFill="1" applyBorder="1"/>
    <xf numFmtId="164" fontId="3" fillId="0" borderId="1" xfId="0" applyNumberFormat="1" applyFont="1" applyBorder="1"/>
    <xf numFmtId="0" fontId="3" fillId="0" borderId="1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1"/>
  <sheetViews>
    <sheetView tabSelected="1" workbookViewId="0">
      <selection activeCell="D13" sqref="D13"/>
    </sheetView>
  </sheetViews>
  <sheetFormatPr baseColWidth="10" defaultColWidth="9.140625" defaultRowHeight="15"/>
  <cols>
    <col min="2" max="2" width="24" customWidth="1"/>
    <col min="3" max="3" width="12" customWidth="1"/>
    <col min="4" max="4" width="12.140625" customWidth="1"/>
    <col min="5" max="6" width="12" customWidth="1"/>
    <col min="7" max="11" width="16" customWidth="1"/>
    <col min="12" max="12" width="20" customWidth="1"/>
  </cols>
  <sheetData>
    <row r="1" spans="2:12">
      <c r="B1" s="6" t="s">
        <v>0</v>
      </c>
      <c r="C1" s="14">
        <f t="shared" ref="C1:D1" si="0">SUM(C3:C17)</f>
        <v>546</v>
      </c>
      <c r="D1" s="14">
        <f t="shared" si="0"/>
        <v>435</v>
      </c>
      <c r="E1" s="14">
        <f>SUM(E3:E17)</f>
        <v>111</v>
      </c>
      <c r="F1" s="14">
        <f>SUM(F3:F17)</f>
        <v>132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</row>
    <row r="2" spans="2:12"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7</v>
      </c>
      <c r="H2" s="6" t="s">
        <v>7</v>
      </c>
      <c r="I2" s="6" t="s">
        <v>7</v>
      </c>
      <c r="J2" s="6" t="s">
        <v>7</v>
      </c>
      <c r="K2" s="6" t="s">
        <v>7</v>
      </c>
      <c r="L2" s="6" t="s">
        <v>7</v>
      </c>
    </row>
    <row r="3" spans="2:12">
      <c r="B3" s="3" t="s">
        <v>12</v>
      </c>
      <c r="C3" s="13">
        <v>108</v>
      </c>
      <c r="D3" s="13">
        <f t="shared" ref="D3:D15" si="1">C3-E3</f>
        <v>81</v>
      </c>
      <c r="E3" s="13">
        <v>27</v>
      </c>
      <c r="F3" s="13">
        <v>38</v>
      </c>
      <c r="G3" s="9">
        <v>11850</v>
      </c>
      <c r="H3" s="9">
        <v>2153</v>
      </c>
      <c r="I3" s="17">
        <v>29329</v>
      </c>
      <c r="J3" s="9">
        <v>12542</v>
      </c>
      <c r="K3" s="9">
        <v>217.72641509433961</v>
      </c>
      <c r="L3" s="10">
        <v>0.54343775726851251</v>
      </c>
    </row>
    <row r="4" spans="2:12">
      <c r="B4" s="3" t="s">
        <v>13</v>
      </c>
      <c r="C4" s="13">
        <v>6</v>
      </c>
      <c r="D4" s="13">
        <f t="shared" si="1"/>
        <v>6</v>
      </c>
      <c r="E4" s="13">
        <v>0</v>
      </c>
      <c r="F4" s="13">
        <v>3</v>
      </c>
      <c r="G4" s="9">
        <v>900</v>
      </c>
      <c r="H4" s="9">
        <v>111</v>
      </c>
      <c r="I4" s="17">
        <v>1724</v>
      </c>
      <c r="J4" s="9">
        <v>996</v>
      </c>
      <c r="K4" s="9">
        <v>287.33333333333331</v>
      </c>
      <c r="L4" s="10">
        <v>0.57772621809744784</v>
      </c>
    </row>
    <row r="5" spans="2:12">
      <c r="B5" s="3" t="s">
        <v>14</v>
      </c>
      <c r="C5" s="13">
        <v>4</v>
      </c>
      <c r="D5" s="13">
        <f t="shared" si="1"/>
        <v>4</v>
      </c>
      <c r="E5" s="13">
        <v>0</v>
      </c>
      <c r="F5" s="13">
        <v>1</v>
      </c>
      <c r="G5" s="9">
        <v>250</v>
      </c>
      <c r="H5" s="9">
        <v>189</v>
      </c>
      <c r="I5" s="17">
        <v>2590</v>
      </c>
      <c r="J5" s="9">
        <v>436</v>
      </c>
      <c r="K5" s="9">
        <v>647.5</v>
      </c>
      <c r="L5" s="10">
        <v>0.16833976833976835</v>
      </c>
    </row>
    <row r="6" spans="2:12">
      <c r="B6" s="3" t="s">
        <v>15</v>
      </c>
      <c r="C6" s="13">
        <v>0</v>
      </c>
      <c r="D6" s="13">
        <f t="shared" si="1"/>
        <v>0</v>
      </c>
      <c r="E6" s="13">
        <v>0</v>
      </c>
      <c r="F6" s="13">
        <v>0</v>
      </c>
      <c r="G6" s="3" t="s">
        <v>16</v>
      </c>
      <c r="H6" s="3" t="s">
        <v>16</v>
      </c>
      <c r="I6" s="18" t="s">
        <v>16</v>
      </c>
      <c r="J6" s="3" t="s">
        <v>16</v>
      </c>
      <c r="K6" s="3" t="s">
        <v>16</v>
      </c>
      <c r="L6" s="3" t="s">
        <v>17</v>
      </c>
    </row>
    <row r="7" spans="2:12">
      <c r="B7" s="3" t="s">
        <v>18</v>
      </c>
      <c r="C7" s="13">
        <v>46</v>
      </c>
      <c r="D7" s="13">
        <f t="shared" si="1"/>
        <v>37</v>
      </c>
      <c r="E7" s="13">
        <v>9</v>
      </c>
      <c r="F7" s="13">
        <v>16</v>
      </c>
      <c r="G7" s="9">
        <v>3200</v>
      </c>
      <c r="H7" s="9">
        <v>2424</v>
      </c>
      <c r="I7" s="17">
        <v>30560</v>
      </c>
      <c r="J7" s="9">
        <v>5295</v>
      </c>
      <c r="K7" s="9">
        <v>594.375</v>
      </c>
      <c r="L7" s="10">
        <v>0.18559411146161936</v>
      </c>
    </row>
    <row r="8" spans="2:12">
      <c r="B8" s="3" t="s">
        <v>19</v>
      </c>
      <c r="C8" s="13">
        <v>8</v>
      </c>
      <c r="D8" s="13">
        <f t="shared" si="1"/>
        <v>5</v>
      </c>
      <c r="E8" s="13">
        <v>3</v>
      </c>
      <c r="F8" s="13">
        <v>2</v>
      </c>
      <c r="G8" s="9">
        <v>500</v>
      </c>
      <c r="H8" s="9">
        <v>333</v>
      </c>
      <c r="I8" s="17">
        <v>4365</v>
      </c>
      <c r="J8" s="9">
        <v>833</v>
      </c>
      <c r="K8" s="9">
        <v>145.76923076923077</v>
      </c>
      <c r="L8" s="10">
        <v>0.43957783641160952</v>
      </c>
    </row>
    <row r="9" spans="2:12">
      <c r="B9" s="3" t="s">
        <v>20</v>
      </c>
      <c r="C9" s="13">
        <v>3</v>
      </c>
      <c r="D9" s="13">
        <f t="shared" si="1"/>
        <v>3</v>
      </c>
      <c r="E9" s="13">
        <v>0</v>
      </c>
      <c r="F9" s="13">
        <v>2</v>
      </c>
      <c r="G9" s="3" t="s">
        <v>16</v>
      </c>
      <c r="H9" s="9">
        <v>620</v>
      </c>
      <c r="I9" s="17">
        <v>9310</v>
      </c>
      <c r="J9" s="9">
        <v>643</v>
      </c>
      <c r="K9" s="9">
        <v>3103.3333333333335</v>
      </c>
      <c r="L9" s="10">
        <v>6.9065520945220199E-2</v>
      </c>
    </row>
    <row r="10" spans="2:12">
      <c r="B10" s="3" t="s">
        <v>21</v>
      </c>
      <c r="C10" s="13">
        <v>0</v>
      </c>
      <c r="D10" s="13">
        <f t="shared" si="1"/>
        <v>0</v>
      </c>
      <c r="E10" s="13">
        <v>0</v>
      </c>
      <c r="F10" s="13">
        <v>0</v>
      </c>
      <c r="G10" s="3" t="s">
        <v>16</v>
      </c>
      <c r="H10" s="3" t="s">
        <v>16</v>
      </c>
      <c r="I10" s="18" t="s">
        <v>16</v>
      </c>
      <c r="J10" s="3" t="s">
        <v>16</v>
      </c>
      <c r="K10" s="3" t="s">
        <v>16</v>
      </c>
      <c r="L10" s="3" t="s">
        <v>17</v>
      </c>
    </row>
    <row r="11" spans="2:12">
      <c r="B11" s="3" t="s">
        <v>22</v>
      </c>
      <c r="C11" s="13">
        <v>7</v>
      </c>
      <c r="D11" s="13">
        <f t="shared" si="1"/>
        <v>7</v>
      </c>
      <c r="E11" s="13">
        <v>0</v>
      </c>
      <c r="F11" s="13">
        <v>2</v>
      </c>
      <c r="G11" s="9">
        <v>200</v>
      </c>
      <c r="H11" s="3" t="s">
        <v>16</v>
      </c>
      <c r="I11" s="18" t="s">
        <v>16</v>
      </c>
      <c r="J11" s="9">
        <v>200</v>
      </c>
      <c r="K11" s="3" t="s">
        <v>16</v>
      </c>
      <c r="L11" s="3" t="s">
        <v>17</v>
      </c>
    </row>
    <row r="12" spans="2:12">
      <c r="B12" s="3" t="s">
        <v>23</v>
      </c>
      <c r="C12" s="13">
        <v>0</v>
      </c>
      <c r="D12" s="13">
        <f t="shared" si="1"/>
        <v>0</v>
      </c>
      <c r="E12" s="13">
        <v>0</v>
      </c>
      <c r="F12" s="13">
        <v>0</v>
      </c>
      <c r="G12" s="3" t="s">
        <v>16</v>
      </c>
      <c r="H12" s="3" t="s">
        <v>16</v>
      </c>
      <c r="I12" s="18" t="s">
        <v>16</v>
      </c>
      <c r="J12" s="3" t="s">
        <v>16</v>
      </c>
      <c r="K12" s="3" t="s">
        <v>16</v>
      </c>
      <c r="L12" s="3" t="s">
        <v>17</v>
      </c>
    </row>
    <row r="13" spans="2:12">
      <c r="B13" s="3" t="s">
        <v>24</v>
      </c>
      <c r="C13" s="13">
        <v>2</v>
      </c>
      <c r="D13" s="13">
        <f t="shared" si="1"/>
        <v>2</v>
      </c>
      <c r="E13" s="13">
        <v>0</v>
      </c>
      <c r="F13" s="13">
        <v>1</v>
      </c>
      <c r="G13" s="9">
        <v>50</v>
      </c>
      <c r="H13" s="9">
        <v>0</v>
      </c>
      <c r="I13" s="17">
        <v>0</v>
      </c>
      <c r="J13" s="9">
        <v>1243</v>
      </c>
      <c r="K13" s="9">
        <v>268.66666666666669</v>
      </c>
      <c r="L13" s="10">
        <v>0.30843672456575683</v>
      </c>
    </row>
    <row r="14" spans="2:12">
      <c r="B14" s="3" t="s">
        <v>25</v>
      </c>
      <c r="C14" s="13">
        <v>4</v>
      </c>
      <c r="D14" s="13">
        <f t="shared" si="1"/>
        <v>4</v>
      </c>
      <c r="E14" s="13">
        <v>0</v>
      </c>
      <c r="F14" s="13">
        <v>2</v>
      </c>
      <c r="G14" s="9">
        <v>400</v>
      </c>
      <c r="H14" s="9">
        <v>94</v>
      </c>
      <c r="I14" s="17">
        <v>1415</v>
      </c>
      <c r="J14" s="9">
        <v>494</v>
      </c>
      <c r="K14" s="9">
        <v>202.14285714285714</v>
      </c>
      <c r="L14" s="10">
        <v>0.34911660777385162</v>
      </c>
    </row>
    <row r="15" spans="2:12">
      <c r="B15" s="3" t="s">
        <v>26</v>
      </c>
      <c r="C15" s="13">
        <v>295</v>
      </c>
      <c r="D15" s="13">
        <f t="shared" si="1"/>
        <v>237</v>
      </c>
      <c r="E15" s="13">
        <v>58</v>
      </c>
      <c r="F15" s="13">
        <v>54</v>
      </c>
      <c r="G15" s="15">
        <v>3660</v>
      </c>
      <c r="H15" s="3" t="s">
        <v>16</v>
      </c>
      <c r="I15" s="18"/>
      <c r="J15" s="3" t="s">
        <v>16</v>
      </c>
      <c r="K15" s="3" t="s">
        <v>16</v>
      </c>
      <c r="L15" s="3" t="s">
        <v>17</v>
      </c>
    </row>
    <row r="16" spans="2:12">
      <c r="B16" s="3" t="s">
        <v>27</v>
      </c>
      <c r="C16" s="13">
        <v>63</v>
      </c>
      <c r="D16" s="13">
        <f>C16-E16</f>
        <v>49</v>
      </c>
      <c r="E16" s="13">
        <v>14</v>
      </c>
      <c r="F16" s="13">
        <v>11</v>
      </c>
      <c r="G16" s="15">
        <v>660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17</v>
      </c>
    </row>
    <row r="17" spans="2:12">
      <c r="B17" s="3" t="s">
        <v>28</v>
      </c>
      <c r="C17" s="13">
        <v>0</v>
      </c>
      <c r="D17" s="13">
        <v>0</v>
      </c>
      <c r="E17" s="13">
        <v>0</v>
      </c>
      <c r="F17" s="13">
        <v>0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17</v>
      </c>
    </row>
    <row r="18" spans="2:12">
      <c r="B18" s="6" t="s">
        <v>7</v>
      </c>
      <c r="C18" s="14">
        <f>SUM(C3:C17)</f>
        <v>546</v>
      </c>
      <c r="D18" s="14">
        <f>SUM(D3:D17)</f>
        <v>435</v>
      </c>
      <c r="E18" s="14">
        <f>SUM(E3:E17)</f>
        <v>111</v>
      </c>
      <c r="F18" s="14">
        <f>SUM(F3:F17)</f>
        <v>132</v>
      </c>
      <c r="G18" s="7">
        <f>SUM(G3:G17)</f>
        <v>21670</v>
      </c>
      <c r="H18" s="7">
        <f t="shared" ref="H18" si="2">SUM(H1:H14)</f>
        <v>5924</v>
      </c>
      <c r="I18" s="7">
        <f>SUM(I1:I14)</f>
        <v>79293</v>
      </c>
      <c r="J18" s="7">
        <v>22682</v>
      </c>
      <c r="K18" s="7">
        <v>347.23923444976077</v>
      </c>
      <c r="L18" s="8">
        <v>0.3125404764857454</v>
      </c>
    </row>
    <row r="20" spans="2:12">
      <c r="B20" s="3" t="s">
        <v>622</v>
      </c>
    </row>
    <row r="21" spans="2:12">
      <c r="B21" s="6" t="s">
        <v>7</v>
      </c>
      <c r="C21" s="6">
        <v>0</v>
      </c>
      <c r="D21" s="6">
        <v>0</v>
      </c>
      <c r="E21" s="6">
        <v>0</v>
      </c>
      <c r="F21" s="6">
        <v>0</v>
      </c>
      <c r="G21" s="16">
        <f>G15+G16</f>
        <v>4320</v>
      </c>
      <c r="H21" s="6" t="s">
        <v>16</v>
      </c>
      <c r="I21" s="6" t="s">
        <v>16</v>
      </c>
      <c r="J21" s="6" t="s">
        <v>16</v>
      </c>
      <c r="K21" s="6" t="s">
        <v>17</v>
      </c>
      <c r="L21" s="6" t="s">
        <v>17</v>
      </c>
    </row>
  </sheetData>
  <pageMargins left="0.5" right="0.5" top="0.75" bottom="0.75" header="0.3" footer="0.3"/>
  <pageSetup paperSize="125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Y72"/>
  <sheetViews>
    <sheetView topLeftCell="D34" workbookViewId="0">
      <selection activeCell="N7" sqref="N7:N72"/>
    </sheetView>
  </sheetViews>
  <sheetFormatPr baseColWidth="10" defaultColWidth="9.140625" defaultRowHeight="15"/>
  <cols>
    <col min="2" max="4" width="14" customWidth="1"/>
    <col min="5" max="5" width="28" customWidth="1"/>
    <col min="6" max="9" width="18" customWidth="1"/>
    <col min="10" max="12" width="10" customWidth="1"/>
    <col min="13" max="19" width="16" customWidth="1"/>
    <col min="20" max="24" width="18" customWidth="1"/>
    <col min="25" max="25" width="28" customWidth="1"/>
  </cols>
  <sheetData>
    <row r="1" spans="2:25">
      <c r="B1" s="2" t="s">
        <v>29</v>
      </c>
      <c r="C1" s="2" t="s">
        <v>30</v>
      </c>
    </row>
    <row r="2" spans="2:25">
      <c r="B2" s="3" t="s">
        <v>31</v>
      </c>
      <c r="C2" s="3">
        <v>67</v>
      </c>
      <c r="D2" s="3" t="s">
        <v>32</v>
      </c>
      <c r="E2" s="3">
        <v>17350</v>
      </c>
      <c r="F2" s="3" t="s">
        <v>33</v>
      </c>
      <c r="G2" s="3">
        <v>72573</v>
      </c>
    </row>
    <row r="4" spans="2:25"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3</v>
      </c>
      <c r="Q4" s="1" t="s">
        <v>48</v>
      </c>
      <c r="R4" s="1" t="s">
        <v>49</v>
      </c>
      <c r="S4" s="1" t="s">
        <v>2</v>
      </c>
      <c r="T4" s="1" t="s">
        <v>50</v>
      </c>
      <c r="U4" s="1" t="s">
        <v>51</v>
      </c>
      <c r="V4" s="1" t="s">
        <v>52</v>
      </c>
      <c r="W4" s="1" t="s">
        <v>53</v>
      </c>
      <c r="X4" s="1" t="s">
        <v>54</v>
      </c>
      <c r="Y4" s="1" t="s">
        <v>55</v>
      </c>
    </row>
    <row r="5" spans="2:25" hidden="1">
      <c r="B5" s="4">
        <v>46241</v>
      </c>
      <c r="C5" s="3" t="s">
        <v>56</v>
      </c>
      <c r="D5" s="5">
        <v>0.38467592592592592</v>
      </c>
      <c r="E5" s="3" t="s">
        <v>57</v>
      </c>
      <c r="F5" s="3" t="s">
        <v>57</v>
      </c>
      <c r="G5" s="3" t="s">
        <v>20</v>
      </c>
      <c r="H5" s="3" t="s">
        <v>58</v>
      </c>
      <c r="I5" s="3" t="s">
        <v>59</v>
      </c>
      <c r="J5" s="3" t="s">
        <v>60</v>
      </c>
      <c r="K5" s="3">
        <v>2</v>
      </c>
      <c r="L5" s="3">
        <v>0</v>
      </c>
      <c r="M5" s="3">
        <v>0</v>
      </c>
      <c r="N5" s="3">
        <v>0</v>
      </c>
      <c r="O5" s="3" t="s">
        <v>61</v>
      </c>
      <c r="P5" s="3">
        <v>8435</v>
      </c>
      <c r="Q5" s="3" t="s">
        <v>62</v>
      </c>
      <c r="R5" s="3" t="s">
        <v>63</v>
      </c>
      <c r="S5" s="3">
        <v>573</v>
      </c>
      <c r="T5" s="3">
        <v>0</v>
      </c>
      <c r="U5" s="3" t="s">
        <v>64</v>
      </c>
      <c r="V5" s="3" t="s">
        <v>65</v>
      </c>
      <c r="W5" s="3" t="s">
        <v>66</v>
      </c>
      <c r="X5" s="3" t="s">
        <v>67</v>
      </c>
      <c r="Y5" s="3" t="s">
        <v>68</v>
      </c>
    </row>
    <row r="6" spans="2:25" hidden="1">
      <c r="B6" s="4">
        <v>46241</v>
      </c>
      <c r="C6" s="3" t="s">
        <v>69</v>
      </c>
      <c r="D6" s="5">
        <v>0.38626157407407408</v>
      </c>
      <c r="E6" s="3" t="s">
        <v>70</v>
      </c>
      <c r="F6" s="3" t="s">
        <v>70</v>
      </c>
      <c r="G6" s="3" t="s">
        <v>20</v>
      </c>
      <c r="H6" s="3" t="s">
        <v>71</v>
      </c>
      <c r="I6" s="3" t="s">
        <v>72</v>
      </c>
      <c r="J6" s="3" t="s">
        <v>60</v>
      </c>
      <c r="K6" s="3">
        <v>1</v>
      </c>
      <c r="L6" s="3">
        <v>0</v>
      </c>
      <c r="M6" s="3">
        <v>0</v>
      </c>
      <c r="N6" s="3">
        <v>0</v>
      </c>
      <c r="O6" s="3" t="s">
        <v>61</v>
      </c>
      <c r="P6" s="3">
        <v>875</v>
      </c>
      <c r="Q6" s="3" t="s">
        <v>62</v>
      </c>
      <c r="R6" s="3" t="s">
        <v>73</v>
      </c>
      <c r="S6" s="3">
        <v>70</v>
      </c>
      <c r="T6" s="3">
        <v>0</v>
      </c>
      <c r="U6" s="3" t="s">
        <v>64</v>
      </c>
      <c r="V6" s="3" t="s">
        <v>74</v>
      </c>
      <c r="W6" s="3" t="s">
        <v>66</v>
      </c>
      <c r="X6" s="3" t="s">
        <v>75</v>
      </c>
      <c r="Y6" s="3" t="s">
        <v>68</v>
      </c>
    </row>
    <row r="7" spans="2:25">
      <c r="B7" s="4">
        <v>46241</v>
      </c>
      <c r="C7" s="3" t="s">
        <v>76</v>
      </c>
      <c r="D7" s="5">
        <v>0.3900925925925926</v>
      </c>
      <c r="E7" s="3" t="s">
        <v>77</v>
      </c>
      <c r="F7" s="3" t="s">
        <v>78</v>
      </c>
      <c r="G7" s="3" t="s">
        <v>79</v>
      </c>
      <c r="H7" s="3" t="s">
        <v>80</v>
      </c>
      <c r="I7" s="3" t="s">
        <v>81</v>
      </c>
      <c r="J7" s="3" t="s">
        <v>60</v>
      </c>
      <c r="K7" s="3">
        <v>2</v>
      </c>
      <c r="L7" s="3">
        <v>0</v>
      </c>
      <c r="M7" s="3">
        <v>0</v>
      </c>
      <c r="N7" s="3">
        <v>350</v>
      </c>
      <c r="O7" s="3" t="s">
        <v>82</v>
      </c>
      <c r="P7" s="3">
        <v>0</v>
      </c>
      <c r="Q7" s="3" t="s">
        <v>62</v>
      </c>
      <c r="R7" s="3" t="s">
        <v>83</v>
      </c>
      <c r="S7" s="3">
        <v>0</v>
      </c>
      <c r="T7" s="3">
        <v>0</v>
      </c>
      <c r="U7" s="3" t="s">
        <v>84</v>
      </c>
      <c r="V7" s="3" t="s">
        <v>76</v>
      </c>
      <c r="W7" s="3" t="s">
        <v>85</v>
      </c>
      <c r="X7" s="3" t="s">
        <v>86</v>
      </c>
      <c r="Y7" s="3" t="s">
        <v>68</v>
      </c>
    </row>
    <row r="8" spans="2:25">
      <c r="B8" s="4">
        <v>46241</v>
      </c>
      <c r="C8" s="3" t="s">
        <v>87</v>
      </c>
      <c r="D8" s="5">
        <v>0.41531249999999997</v>
      </c>
      <c r="E8" s="3" t="s">
        <v>88</v>
      </c>
      <c r="F8" s="3" t="s">
        <v>88</v>
      </c>
      <c r="G8" s="3" t="s">
        <v>89</v>
      </c>
      <c r="H8" s="3" t="s">
        <v>90</v>
      </c>
      <c r="I8" s="3" t="s">
        <v>59</v>
      </c>
      <c r="J8" s="3" t="s">
        <v>60</v>
      </c>
      <c r="K8" s="3">
        <v>2</v>
      </c>
      <c r="L8" s="3">
        <v>0</v>
      </c>
      <c r="M8" s="3">
        <v>0</v>
      </c>
      <c r="N8" s="3">
        <v>250</v>
      </c>
      <c r="O8" s="3" t="s">
        <v>91</v>
      </c>
      <c r="P8" s="3">
        <v>0</v>
      </c>
      <c r="Q8" s="3" t="s">
        <v>62</v>
      </c>
      <c r="R8" s="3" t="s">
        <v>92</v>
      </c>
      <c r="S8" s="3">
        <v>0</v>
      </c>
      <c r="T8" s="3">
        <v>0</v>
      </c>
      <c r="U8" s="3" t="s">
        <v>84</v>
      </c>
      <c r="V8" s="3" t="s">
        <v>87</v>
      </c>
      <c r="W8" s="3" t="s">
        <v>93</v>
      </c>
      <c r="X8" s="3" t="s">
        <v>94</v>
      </c>
      <c r="Y8" s="3" t="s">
        <v>68</v>
      </c>
    </row>
    <row r="9" spans="2:25">
      <c r="B9" s="4">
        <v>46241</v>
      </c>
      <c r="C9" s="3" t="s">
        <v>95</v>
      </c>
      <c r="D9" s="5">
        <v>0.45784722222222224</v>
      </c>
      <c r="E9" s="3" t="s">
        <v>96</v>
      </c>
      <c r="F9" s="3" t="s">
        <v>96</v>
      </c>
      <c r="G9" s="3" t="s">
        <v>79</v>
      </c>
      <c r="H9" s="3" t="s">
        <v>97</v>
      </c>
      <c r="I9" s="3" t="s">
        <v>98</v>
      </c>
      <c r="J9" s="3" t="s">
        <v>60</v>
      </c>
      <c r="K9" s="3">
        <v>7</v>
      </c>
      <c r="L9" s="3">
        <v>0</v>
      </c>
      <c r="M9" s="3">
        <v>0</v>
      </c>
      <c r="N9" s="3">
        <v>350</v>
      </c>
      <c r="O9" s="3" t="s">
        <v>99</v>
      </c>
      <c r="P9" s="3">
        <v>1800</v>
      </c>
      <c r="Q9" s="3" t="s">
        <v>62</v>
      </c>
      <c r="R9" s="3" t="s">
        <v>100</v>
      </c>
      <c r="S9" s="3">
        <v>110</v>
      </c>
      <c r="T9" s="3">
        <v>0</v>
      </c>
      <c r="U9" s="3" t="s">
        <v>64</v>
      </c>
      <c r="V9" s="3" t="s">
        <v>101</v>
      </c>
      <c r="W9" s="3" t="s">
        <v>102</v>
      </c>
      <c r="X9" s="3" t="s">
        <v>103</v>
      </c>
      <c r="Y9" s="3" t="s">
        <v>68</v>
      </c>
    </row>
    <row r="10" spans="2:25" hidden="1">
      <c r="B10" s="4">
        <v>46241</v>
      </c>
      <c r="C10" s="3" t="s">
        <v>104</v>
      </c>
      <c r="D10" s="5">
        <v>0.47364583333333332</v>
      </c>
      <c r="E10" s="3" t="s">
        <v>105</v>
      </c>
      <c r="F10" s="3" t="s">
        <v>105</v>
      </c>
      <c r="G10" s="3" t="s">
        <v>106</v>
      </c>
      <c r="H10" s="3" t="s">
        <v>107</v>
      </c>
      <c r="I10" s="3" t="s">
        <v>108</v>
      </c>
      <c r="J10" s="3" t="s">
        <v>60</v>
      </c>
      <c r="K10" s="3">
        <v>2</v>
      </c>
      <c r="L10" s="3">
        <v>0</v>
      </c>
      <c r="M10" s="3">
        <v>0</v>
      </c>
      <c r="N10" s="3">
        <v>200</v>
      </c>
      <c r="O10" s="3" t="s">
        <v>109</v>
      </c>
      <c r="P10" s="3">
        <v>0</v>
      </c>
      <c r="Q10" s="3" t="s">
        <v>62</v>
      </c>
      <c r="R10" s="3" t="s">
        <v>110</v>
      </c>
      <c r="S10" s="3">
        <v>0</v>
      </c>
      <c r="T10" s="3">
        <v>0</v>
      </c>
      <c r="U10" s="3" t="s">
        <v>84</v>
      </c>
      <c r="V10" s="3" t="s">
        <v>104</v>
      </c>
      <c r="W10" s="3" t="s">
        <v>111</v>
      </c>
      <c r="X10" s="3" t="s">
        <v>112</v>
      </c>
      <c r="Y10" s="3" t="s">
        <v>68</v>
      </c>
    </row>
    <row r="11" spans="2:25" hidden="1">
      <c r="B11" s="4">
        <v>46241</v>
      </c>
      <c r="C11" s="3" t="s">
        <v>113</v>
      </c>
      <c r="D11" s="5">
        <v>0.4754976851851852</v>
      </c>
      <c r="E11" s="3" t="s">
        <v>114</v>
      </c>
      <c r="F11" s="3" t="s">
        <v>115</v>
      </c>
      <c r="G11" s="3" t="s">
        <v>621</v>
      </c>
      <c r="H11" s="3" t="s">
        <v>24</v>
      </c>
      <c r="I11" s="3" t="s">
        <v>24</v>
      </c>
      <c r="J11" s="3" t="s">
        <v>60</v>
      </c>
      <c r="K11" s="3">
        <v>2</v>
      </c>
      <c r="L11" s="3">
        <v>0</v>
      </c>
      <c r="M11" s="3">
        <v>0</v>
      </c>
      <c r="N11" s="3">
        <v>50</v>
      </c>
      <c r="O11" s="3" t="s">
        <v>116</v>
      </c>
      <c r="P11" s="3">
        <v>0</v>
      </c>
      <c r="Q11" s="3" t="s">
        <v>62</v>
      </c>
      <c r="R11" s="3" t="s">
        <v>117</v>
      </c>
      <c r="S11" s="3">
        <v>0</v>
      </c>
      <c r="T11" s="3">
        <v>0</v>
      </c>
      <c r="U11" s="3" t="s">
        <v>84</v>
      </c>
      <c r="V11" s="3" t="s">
        <v>113</v>
      </c>
      <c r="W11" s="3" t="s">
        <v>118</v>
      </c>
      <c r="X11" s="3" t="s">
        <v>119</v>
      </c>
      <c r="Y11" s="3" t="s">
        <v>120</v>
      </c>
    </row>
    <row r="12" spans="2:25" hidden="1">
      <c r="B12" s="4">
        <v>46241</v>
      </c>
      <c r="C12" s="3" t="s">
        <v>121</v>
      </c>
      <c r="D12" s="5">
        <v>0.47550925925925924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60</v>
      </c>
      <c r="K12" s="3">
        <v>4</v>
      </c>
      <c r="L12" s="3">
        <v>0</v>
      </c>
      <c r="M12" s="3">
        <v>0</v>
      </c>
      <c r="N12" s="3">
        <v>250</v>
      </c>
      <c r="O12" s="3" t="s">
        <v>127</v>
      </c>
      <c r="P12" s="3">
        <v>2590</v>
      </c>
      <c r="Q12" s="3" t="s">
        <v>62</v>
      </c>
      <c r="R12" s="3" t="s">
        <v>128</v>
      </c>
      <c r="S12" s="3">
        <v>186</v>
      </c>
      <c r="T12" s="3">
        <v>0</v>
      </c>
      <c r="U12" s="3" t="s">
        <v>64</v>
      </c>
      <c r="V12" s="3" t="s">
        <v>129</v>
      </c>
      <c r="W12" s="3" t="s">
        <v>130</v>
      </c>
      <c r="X12" s="3" t="s">
        <v>131</v>
      </c>
      <c r="Y12" s="3" t="s">
        <v>68</v>
      </c>
    </row>
    <row r="13" spans="2:25">
      <c r="B13" s="4">
        <v>46241</v>
      </c>
      <c r="C13" s="3" t="s">
        <v>132</v>
      </c>
      <c r="D13" s="5">
        <v>0.47591435185185182</v>
      </c>
      <c r="E13" s="3" t="s">
        <v>133</v>
      </c>
      <c r="F13" s="3" t="s">
        <v>133</v>
      </c>
      <c r="G13" s="3" t="s">
        <v>89</v>
      </c>
      <c r="H13" s="3" t="s">
        <v>134</v>
      </c>
      <c r="I13" s="3" t="s">
        <v>135</v>
      </c>
      <c r="J13" s="3" t="s">
        <v>60</v>
      </c>
      <c r="K13" s="3">
        <v>2</v>
      </c>
      <c r="L13" s="3">
        <v>0</v>
      </c>
      <c r="M13" s="3">
        <v>1</v>
      </c>
      <c r="N13" s="3">
        <v>250</v>
      </c>
      <c r="O13" s="3" t="s">
        <v>136</v>
      </c>
      <c r="P13" s="3">
        <v>0</v>
      </c>
      <c r="Q13" s="3" t="s">
        <v>62</v>
      </c>
      <c r="R13" s="3" t="s">
        <v>137</v>
      </c>
      <c r="S13" s="3">
        <v>0</v>
      </c>
      <c r="T13" s="3">
        <v>0</v>
      </c>
      <c r="U13" s="3" t="s">
        <v>84</v>
      </c>
      <c r="V13" s="3" t="s">
        <v>132</v>
      </c>
      <c r="W13" s="3" t="s">
        <v>138</v>
      </c>
      <c r="X13" s="3" t="s">
        <v>139</v>
      </c>
      <c r="Y13" s="3" t="s">
        <v>68</v>
      </c>
    </row>
    <row r="14" spans="2:25">
      <c r="B14" s="4">
        <v>46241</v>
      </c>
      <c r="C14" s="3" t="s">
        <v>140</v>
      </c>
      <c r="D14" s="5">
        <v>0.47689814814814813</v>
      </c>
      <c r="E14" s="3" t="s">
        <v>141</v>
      </c>
      <c r="F14" s="3" t="s">
        <v>141</v>
      </c>
      <c r="G14" s="3" t="s">
        <v>89</v>
      </c>
      <c r="H14" s="3" t="s">
        <v>142</v>
      </c>
      <c r="I14" s="3" t="s">
        <v>143</v>
      </c>
      <c r="J14" s="3" t="s">
        <v>144</v>
      </c>
      <c r="K14" s="3">
        <v>4</v>
      </c>
      <c r="L14" s="3">
        <v>0</v>
      </c>
      <c r="M14" s="3">
        <v>0</v>
      </c>
      <c r="N14" s="3">
        <v>250</v>
      </c>
      <c r="O14" s="3" t="s">
        <v>145</v>
      </c>
      <c r="P14" s="3">
        <v>0</v>
      </c>
      <c r="Q14" s="3" t="s">
        <v>62</v>
      </c>
      <c r="R14" s="3" t="s">
        <v>146</v>
      </c>
      <c r="S14" s="3">
        <v>0</v>
      </c>
      <c r="T14" s="3">
        <v>0</v>
      </c>
      <c r="U14" s="3" t="s">
        <v>84</v>
      </c>
      <c r="V14" s="3" t="s">
        <v>140</v>
      </c>
      <c r="W14" s="3" t="s">
        <v>147</v>
      </c>
      <c r="X14" s="3" t="s">
        <v>148</v>
      </c>
      <c r="Y14" s="3" t="s">
        <v>68</v>
      </c>
    </row>
    <row r="15" spans="2:25" hidden="1">
      <c r="B15" s="4">
        <v>46241</v>
      </c>
      <c r="C15" s="3" t="s">
        <v>149</v>
      </c>
      <c r="D15" s="5">
        <v>0.48017361111111112</v>
      </c>
      <c r="E15" s="3" t="s">
        <v>150</v>
      </c>
      <c r="F15" s="3" t="s">
        <v>150</v>
      </c>
      <c r="G15" s="3" t="s">
        <v>22</v>
      </c>
      <c r="H15" s="3" t="s">
        <v>151</v>
      </c>
      <c r="I15" s="3" t="s">
        <v>152</v>
      </c>
      <c r="J15" s="3" t="s">
        <v>60</v>
      </c>
      <c r="K15" s="3">
        <v>2</v>
      </c>
      <c r="L15" s="3">
        <v>0</v>
      </c>
      <c r="M15" s="3">
        <v>0</v>
      </c>
      <c r="N15" s="3">
        <v>100</v>
      </c>
      <c r="O15" s="3" t="s">
        <v>153</v>
      </c>
      <c r="P15" s="3">
        <v>0</v>
      </c>
      <c r="Q15" s="3" t="s">
        <v>62</v>
      </c>
      <c r="R15" s="3" t="s">
        <v>154</v>
      </c>
      <c r="S15" s="3">
        <v>0</v>
      </c>
      <c r="T15" s="3">
        <v>0</v>
      </c>
      <c r="U15" s="3" t="s">
        <v>84</v>
      </c>
      <c r="V15" s="3" t="s">
        <v>149</v>
      </c>
      <c r="W15" s="3" t="s">
        <v>155</v>
      </c>
      <c r="X15" s="3" t="s">
        <v>156</v>
      </c>
      <c r="Y15" s="3" t="s">
        <v>68</v>
      </c>
    </row>
    <row r="16" spans="2:25">
      <c r="B16" s="4">
        <v>46241</v>
      </c>
      <c r="C16" s="3" t="s">
        <v>157</v>
      </c>
      <c r="D16" s="5">
        <v>0.48290509259259257</v>
      </c>
      <c r="E16" s="3" t="s">
        <v>158</v>
      </c>
      <c r="F16" s="3" t="s">
        <v>158</v>
      </c>
      <c r="G16" s="3" t="s">
        <v>79</v>
      </c>
      <c r="H16" s="3" t="s">
        <v>159</v>
      </c>
      <c r="I16" s="3" t="s">
        <v>143</v>
      </c>
      <c r="J16" s="3" t="s">
        <v>60</v>
      </c>
      <c r="K16" s="3">
        <v>4</v>
      </c>
      <c r="L16" s="3">
        <v>0</v>
      </c>
      <c r="M16" s="3">
        <v>0</v>
      </c>
      <c r="N16" s="3">
        <v>350</v>
      </c>
      <c r="O16" s="3" t="s">
        <v>160</v>
      </c>
      <c r="P16" s="3">
        <v>5640</v>
      </c>
      <c r="Q16" s="3" t="s">
        <v>62</v>
      </c>
      <c r="R16" s="3" t="s">
        <v>161</v>
      </c>
      <c r="S16" s="3">
        <v>421</v>
      </c>
      <c r="T16" s="3">
        <v>0</v>
      </c>
      <c r="U16" s="3" t="s">
        <v>64</v>
      </c>
      <c r="V16" s="3" t="s">
        <v>162</v>
      </c>
      <c r="W16" s="3" t="s">
        <v>163</v>
      </c>
      <c r="X16" s="3" t="s">
        <v>164</v>
      </c>
      <c r="Y16" s="3" t="s">
        <v>165</v>
      </c>
    </row>
    <row r="17" spans="2:25" hidden="1">
      <c r="B17" s="4">
        <v>46241</v>
      </c>
      <c r="C17" s="3" t="s">
        <v>166</v>
      </c>
      <c r="D17" s="5">
        <v>0.48924768518518519</v>
      </c>
      <c r="E17" s="3" t="s">
        <v>167</v>
      </c>
      <c r="F17" s="3" t="s">
        <v>167</v>
      </c>
      <c r="G17" s="3" t="s">
        <v>18</v>
      </c>
      <c r="H17" s="3" t="s">
        <v>168</v>
      </c>
      <c r="I17" s="3" t="s">
        <v>169</v>
      </c>
      <c r="J17" s="3" t="s">
        <v>60</v>
      </c>
      <c r="K17" s="3">
        <v>4</v>
      </c>
      <c r="L17" s="3">
        <v>0</v>
      </c>
      <c r="M17" s="3">
        <v>1</v>
      </c>
      <c r="N17" s="3">
        <v>200</v>
      </c>
      <c r="O17" s="3" t="s">
        <v>170</v>
      </c>
      <c r="P17" s="3">
        <v>0</v>
      </c>
      <c r="Q17" s="3" t="s">
        <v>62</v>
      </c>
      <c r="R17" s="3" t="s">
        <v>171</v>
      </c>
      <c r="S17" s="3">
        <v>0</v>
      </c>
      <c r="T17" s="3">
        <v>0</v>
      </c>
      <c r="U17" s="3" t="s">
        <v>84</v>
      </c>
      <c r="V17" s="3" t="s">
        <v>166</v>
      </c>
      <c r="W17" s="3" t="s">
        <v>172</v>
      </c>
      <c r="X17" s="3" t="s">
        <v>173</v>
      </c>
      <c r="Y17" s="3" t="s">
        <v>68</v>
      </c>
    </row>
    <row r="18" spans="2:25">
      <c r="B18" s="4">
        <v>46241</v>
      </c>
      <c r="C18" s="3" t="s">
        <v>174</v>
      </c>
      <c r="D18" s="5">
        <v>0.49853009259259257</v>
      </c>
      <c r="E18" s="3" t="s">
        <v>175</v>
      </c>
      <c r="F18" s="3" t="s">
        <v>176</v>
      </c>
      <c r="G18" s="3" t="s">
        <v>79</v>
      </c>
      <c r="H18" s="3" t="s">
        <v>177</v>
      </c>
      <c r="I18" s="3" t="s">
        <v>178</v>
      </c>
      <c r="J18" s="3" t="s">
        <v>60</v>
      </c>
      <c r="K18" s="3">
        <v>2</v>
      </c>
      <c r="L18" s="3">
        <v>0</v>
      </c>
      <c r="M18" s="3">
        <v>0</v>
      </c>
      <c r="N18" s="3">
        <v>250</v>
      </c>
      <c r="O18" s="3" t="s">
        <v>179</v>
      </c>
      <c r="P18" s="3">
        <v>0</v>
      </c>
      <c r="Q18" s="3" t="s">
        <v>62</v>
      </c>
      <c r="R18" s="3" t="s">
        <v>180</v>
      </c>
      <c r="S18" s="3">
        <v>0</v>
      </c>
      <c r="T18" s="3">
        <v>0</v>
      </c>
      <c r="U18" s="3" t="s">
        <v>84</v>
      </c>
      <c r="V18" s="3" t="s">
        <v>174</v>
      </c>
      <c r="W18" s="3" t="s">
        <v>181</v>
      </c>
      <c r="X18" s="3" t="s">
        <v>182</v>
      </c>
      <c r="Y18" s="3" t="s">
        <v>68</v>
      </c>
    </row>
    <row r="19" spans="2:25">
      <c r="B19" s="4">
        <v>46241</v>
      </c>
      <c r="C19" s="3" t="s">
        <v>183</v>
      </c>
      <c r="D19" s="5">
        <v>0.50201388888888887</v>
      </c>
      <c r="E19" s="3" t="s">
        <v>184</v>
      </c>
      <c r="F19" s="3" t="s">
        <v>184</v>
      </c>
      <c r="G19" s="3" t="s">
        <v>79</v>
      </c>
      <c r="H19" s="3" t="s">
        <v>185</v>
      </c>
      <c r="I19" s="3" t="s">
        <v>186</v>
      </c>
      <c r="J19" s="3" t="s">
        <v>144</v>
      </c>
      <c r="K19" s="3">
        <v>3</v>
      </c>
      <c r="L19" s="3">
        <v>0</v>
      </c>
      <c r="M19" s="3">
        <v>0</v>
      </c>
      <c r="N19" s="3">
        <v>350</v>
      </c>
      <c r="O19" s="3" t="s">
        <v>187</v>
      </c>
      <c r="P19" s="3">
        <v>0</v>
      </c>
      <c r="Q19" s="3" t="s">
        <v>62</v>
      </c>
      <c r="R19" s="3" t="s">
        <v>188</v>
      </c>
      <c r="S19" s="3">
        <v>0</v>
      </c>
      <c r="T19" s="3">
        <v>0</v>
      </c>
      <c r="U19" s="3" t="s">
        <v>84</v>
      </c>
      <c r="V19" s="3" t="s">
        <v>183</v>
      </c>
      <c r="W19" s="3" t="s">
        <v>189</v>
      </c>
      <c r="X19" s="3" t="s">
        <v>190</v>
      </c>
      <c r="Y19" s="3" t="s">
        <v>68</v>
      </c>
    </row>
    <row r="20" spans="2:25">
      <c r="B20" s="4">
        <v>46241</v>
      </c>
      <c r="C20" s="3" t="s">
        <v>191</v>
      </c>
      <c r="D20" s="5">
        <v>0.50471064814814814</v>
      </c>
      <c r="E20" s="3" t="s">
        <v>192</v>
      </c>
      <c r="F20" s="3" t="s">
        <v>192</v>
      </c>
      <c r="G20" s="3" t="s">
        <v>79</v>
      </c>
      <c r="H20" s="3" t="s">
        <v>193</v>
      </c>
      <c r="I20" s="3" t="s">
        <v>194</v>
      </c>
      <c r="J20" s="3" t="s">
        <v>60</v>
      </c>
      <c r="K20" s="3">
        <v>2</v>
      </c>
      <c r="L20" s="3">
        <v>0</v>
      </c>
      <c r="M20" s="3">
        <v>0</v>
      </c>
      <c r="N20" s="3">
        <v>350</v>
      </c>
      <c r="O20" s="3" t="s">
        <v>195</v>
      </c>
      <c r="P20" s="3">
        <v>0</v>
      </c>
      <c r="Q20" s="3" t="s">
        <v>62</v>
      </c>
      <c r="R20" s="3" t="s">
        <v>196</v>
      </c>
      <c r="S20" s="3">
        <v>0</v>
      </c>
      <c r="T20" s="3">
        <v>0</v>
      </c>
      <c r="U20" s="3" t="s">
        <v>84</v>
      </c>
      <c r="V20" s="3" t="s">
        <v>191</v>
      </c>
      <c r="W20" s="3" t="s">
        <v>197</v>
      </c>
      <c r="X20" s="3" t="s">
        <v>198</v>
      </c>
      <c r="Y20" s="3" t="s">
        <v>68</v>
      </c>
    </row>
    <row r="21" spans="2:25">
      <c r="B21" s="4">
        <v>46241</v>
      </c>
      <c r="C21" s="3" t="s">
        <v>199</v>
      </c>
      <c r="D21" s="5">
        <v>0.51195601851851846</v>
      </c>
      <c r="E21" s="3" t="s">
        <v>200</v>
      </c>
      <c r="F21" s="3" t="s">
        <v>200</v>
      </c>
      <c r="G21" s="3" t="s">
        <v>79</v>
      </c>
      <c r="H21" s="3" t="s">
        <v>201</v>
      </c>
      <c r="I21" s="3" t="s">
        <v>202</v>
      </c>
      <c r="J21" s="3" t="s">
        <v>60</v>
      </c>
      <c r="K21" s="3">
        <v>2</v>
      </c>
      <c r="L21" s="3">
        <v>0</v>
      </c>
      <c r="M21" s="3">
        <v>0</v>
      </c>
      <c r="N21" s="3">
        <v>350</v>
      </c>
      <c r="O21" s="3" t="s">
        <v>203</v>
      </c>
      <c r="P21" s="3">
        <v>0</v>
      </c>
      <c r="Q21" s="3" t="s">
        <v>62</v>
      </c>
      <c r="R21" s="3" t="s">
        <v>204</v>
      </c>
      <c r="S21" s="3">
        <v>0</v>
      </c>
      <c r="T21" s="3">
        <v>0</v>
      </c>
      <c r="U21" s="3" t="s">
        <v>84</v>
      </c>
      <c r="V21" s="3" t="s">
        <v>199</v>
      </c>
      <c r="W21" s="3" t="s">
        <v>205</v>
      </c>
      <c r="X21" s="3" t="s">
        <v>206</v>
      </c>
      <c r="Y21" s="3" t="s">
        <v>68</v>
      </c>
    </row>
    <row r="22" spans="2:25" hidden="1">
      <c r="B22" s="4">
        <v>46241</v>
      </c>
      <c r="C22" s="3" t="s">
        <v>207</v>
      </c>
      <c r="D22" s="5">
        <v>0.51960648148148147</v>
      </c>
      <c r="E22" s="3" t="s">
        <v>208</v>
      </c>
      <c r="F22" s="3" t="s">
        <v>208</v>
      </c>
      <c r="G22" s="3" t="s">
        <v>18</v>
      </c>
      <c r="H22" s="3" t="s">
        <v>209</v>
      </c>
      <c r="I22" s="3" t="s">
        <v>210</v>
      </c>
      <c r="J22" s="3" t="s">
        <v>60</v>
      </c>
      <c r="K22" s="3">
        <v>2</v>
      </c>
      <c r="L22" s="3">
        <v>0</v>
      </c>
      <c r="M22" s="3">
        <v>0</v>
      </c>
      <c r="N22" s="3">
        <v>200</v>
      </c>
      <c r="O22" s="3" t="s">
        <v>211</v>
      </c>
      <c r="P22" s="3">
        <v>0</v>
      </c>
      <c r="Q22" s="3" t="s">
        <v>62</v>
      </c>
      <c r="R22" s="3" t="s">
        <v>212</v>
      </c>
      <c r="S22" s="3">
        <v>0</v>
      </c>
      <c r="T22" s="3">
        <v>0</v>
      </c>
      <c r="U22" s="3" t="s">
        <v>84</v>
      </c>
      <c r="V22" s="3" t="s">
        <v>207</v>
      </c>
      <c r="W22" s="3" t="s">
        <v>213</v>
      </c>
      <c r="X22" s="3" t="s">
        <v>214</v>
      </c>
      <c r="Y22" s="3" t="s">
        <v>68</v>
      </c>
    </row>
    <row r="23" spans="2:25" hidden="1">
      <c r="B23" s="4">
        <v>46241</v>
      </c>
      <c r="C23" s="3" t="s">
        <v>215</v>
      </c>
      <c r="D23" s="5">
        <v>0.52194444444444443</v>
      </c>
      <c r="E23" s="3" t="s">
        <v>216</v>
      </c>
      <c r="F23" s="3" t="s">
        <v>216</v>
      </c>
      <c r="G23" s="3" t="s">
        <v>18</v>
      </c>
      <c r="H23" s="3" t="s">
        <v>217</v>
      </c>
      <c r="I23" s="3" t="s">
        <v>218</v>
      </c>
      <c r="J23" s="3" t="s">
        <v>60</v>
      </c>
      <c r="K23" s="3">
        <v>2</v>
      </c>
      <c r="L23" s="3">
        <v>0</v>
      </c>
      <c r="M23" s="3">
        <v>1</v>
      </c>
      <c r="N23" s="3">
        <v>200</v>
      </c>
      <c r="O23" s="3" t="s">
        <v>219</v>
      </c>
      <c r="P23" s="3">
        <v>0</v>
      </c>
      <c r="Q23" s="3" t="s">
        <v>62</v>
      </c>
      <c r="R23" s="3" t="s">
        <v>220</v>
      </c>
      <c r="S23" s="3">
        <v>0</v>
      </c>
      <c r="T23" s="3">
        <v>0</v>
      </c>
      <c r="U23" s="3" t="s">
        <v>84</v>
      </c>
      <c r="V23" s="3" t="s">
        <v>215</v>
      </c>
      <c r="W23" s="3" t="s">
        <v>221</v>
      </c>
      <c r="X23" s="3" t="s">
        <v>222</v>
      </c>
      <c r="Y23" s="3" t="s">
        <v>68</v>
      </c>
    </row>
    <row r="24" spans="2:25">
      <c r="B24" s="4">
        <v>46241</v>
      </c>
      <c r="C24" s="3" t="s">
        <v>223</v>
      </c>
      <c r="D24" s="5">
        <v>0.5251851851851852</v>
      </c>
      <c r="E24" s="3" t="s">
        <v>224</v>
      </c>
      <c r="F24" s="3" t="s">
        <v>224</v>
      </c>
      <c r="G24" s="3" t="s">
        <v>79</v>
      </c>
      <c r="H24" s="3" t="s">
        <v>225</v>
      </c>
      <c r="I24" s="3" t="s">
        <v>226</v>
      </c>
      <c r="J24" s="3" t="s">
        <v>60</v>
      </c>
      <c r="K24" s="3">
        <v>6</v>
      </c>
      <c r="L24" s="3">
        <v>0</v>
      </c>
      <c r="M24" s="3">
        <v>0</v>
      </c>
      <c r="N24" s="3">
        <v>350</v>
      </c>
      <c r="O24" s="3" t="s">
        <v>227</v>
      </c>
      <c r="P24" s="3">
        <v>1095</v>
      </c>
      <c r="Q24" s="3" t="s">
        <v>62</v>
      </c>
      <c r="R24" s="3" t="s">
        <v>228</v>
      </c>
      <c r="S24" s="3">
        <v>62</v>
      </c>
      <c r="T24" s="3">
        <v>0</v>
      </c>
      <c r="U24" s="3" t="s">
        <v>64</v>
      </c>
      <c r="V24" s="3" t="s">
        <v>229</v>
      </c>
      <c r="W24" s="3" t="s">
        <v>230</v>
      </c>
      <c r="X24" s="3" t="s">
        <v>231</v>
      </c>
      <c r="Y24" s="3" t="s">
        <v>68</v>
      </c>
    </row>
    <row r="25" spans="2:25" hidden="1">
      <c r="B25" s="4">
        <v>46241</v>
      </c>
      <c r="C25" s="3" t="s">
        <v>232</v>
      </c>
      <c r="D25" s="5">
        <v>0.5254050925925926</v>
      </c>
      <c r="E25" s="3" t="s">
        <v>233</v>
      </c>
      <c r="F25" s="3" t="s">
        <v>234</v>
      </c>
      <c r="G25" s="3" t="s">
        <v>235</v>
      </c>
      <c r="H25" s="3" t="s">
        <v>236</v>
      </c>
      <c r="I25" s="3" t="s">
        <v>237</v>
      </c>
      <c r="J25" s="3" t="s">
        <v>60</v>
      </c>
      <c r="K25" s="3">
        <v>3</v>
      </c>
      <c r="L25" s="3">
        <v>0</v>
      </c>
      <c r="M25" s="3">
        <v>0</v>
      </c>
      <c r="N25" s="3">
        <v>300</v>
      </c>
      <c r="O25" s="3" t="s">
        <v>238</v>
      </c>
      <c r="P25" s="3">
        <v>0</v>
      </c>
      <c r="Q25" s="3" t="s">
        <v>62</v>
      </c>
      <c r="R25" s="3" t="s">
        <v>239</v>
      </c>
      <c r="S25" s="3">
        <v>0</v>
      </c>
      <c r="T25" s="3">
        <v>0</v>
      </c>
      <c r="U25" s="3" t="s">
        <v>84</v>
      </c>
      <c r="V25" s="3" t="s">
        <v>232</v>
      </c>
      <c r="W25" s="3" t="s">
        <v>240</v>
      </c>
      <c r="X25" s="3" t="s">
        <v>241</v>
      </c>
      <c r="Y25" s="3" t="s">
        <v>68</v>
      </c>
    </row>
    <row r="26" spans="2:25">
      <c r="B26" s="4">
        <v>46241</v>
      </c>
      <c r="C26" s="3" t="s">
        <v>242</v>
      </c>
      <c r="D26" s="5">
        <v>0.52645833333333336</v>
      </c>
      <c r="E26" s="3" t="s">
        <v>243</v>
      </c>
      <c r="F26" s="3" t="s">
        <v>243</v>
      </c>
      <c r="G26" s="3" t="s">
        <v>79</v>
      </c>
      <c r="H26" s="3" t="s">
        <v>244</v>
      </c>
      <c r="I26" s="3" t="s">
        <v>245</v>
      </c>
      <c r="J26" s="3" t="s">
        <v>60</v>
      </c>
      <c r="K26" s="3">
        <v>2</v>
      </c>
      <c r="L26" s="3">
        <v>0</v>
      </c>
      <c r="M26" s="3">
        <v>0</v>
      </c>
      <c r="N26" s="3">
        <v>350</v>
      </c>
      <c r="O26" s="3" t="s">
        <v>246</v>
      </c>
      <c r="P26" s="3">
        <v>2714</v>
      </c>
      <c r="Q26" s="3" t="s">
        <v>62</v>
      </c>
      <c r="R26" s="3" t="s">
        <v>247</v>
      </c>
      <c r="S26" s="3">
        <v>184</v>
      </c>
      <c r="T26" s="3">
        <v>0</v>
      </c>
      <c r="U26" s="3" t="s">
        <v>64</v>
      </c>
      <c r="V26" s="3" t="s">
        <v>248</v>
      </c>
      <c r="W26" s="3" t="s">
        <v>249</v>
      </c>
      <c r="X26" s="3" t="s">
        <v>250</v>
      </c>
      <c r="Y26" s="3" t="s">
        <v>68</v>
      </c>
    </row>
    <row r="27" spans="2:25">
      <c r="B27" s="4">
        <v>46241</v>
      </c>
      <c r="C27" s="3" t="s">
        <v>251</v>
      </c>
      <c r="D27" s="5">
        <v>0.53245370370370371</v>
      </c>
      <c r="E27" s="3" t="s">
        <v>252</v>
      </c>
      <c r="F27" s="3" t="s">
        <v>252</v>
      </c>
      <c r="G27" s="3" t="s">
        <v>79</v>
      </c>
      <c r="H27" s="3" t="s">
        <v>253</v>
      </c>
      <c r="I27" s="3" t="s">
        <v>254</v>
      </c>
      <c r="J27" s="3" t="s">
        <v>60</v>
      </c>
      <c r="K27" s="3">
        <v>2</v>
      </c>
      <c r="L27" s="3">
        <v>0</v>
      </c>
      <c r="M27" s="3">
        <v>2</v>
      </c>
      <c r="N27" s="3">
        <v>350</v>
      </c>
      <c r="O27" s="3" t="s">
        <v>255</v>
      </c>
      <c r="P27" s="3">
        <v>0</v>
      </c>
      <c r="Q27" s="3" t="s">
        <v>62</v>
      </c>
      <c r="R27" s="3" t="s">
        <v>256</v>
      </c>
      <c r="S27" s="3">
        <v>0</v>
      </c>
      <c r="T27" s="3">
        <v>0</v>
      </c>
      <c r="U27" s="3" t="s">
        <v>84</v>
      </c>
      <c r="V27" s="3" t="s">
        <v>251</v>
      </c>
      <c r="W27" s="3" t="s">
        <v>257</v>
      </c>
      <c r="X27" s="3" t="s">
        <v>258</v>
      </c>
      <c r="Y27" s="3" t="s">
        <v>68</v>
      </c>
    </row>
    <row r="28" spans="2:25">
      <c r="B28" s="4">
        <v>46241</v>
      </c>
      <c r="C28" s="3" t="s">
        <v>259</v>
      </c>
      <c r="D28" s="5">
        <v>0.53513888888888894</v>
      </c>
      <c r="E28" s="3" t="s">
        <v>260</v>
      </c>
      <c r="F28" s="3" t="s">
        <v>260</v>
      </c>
      <c r="G28" s="3" t="s">
        <v>79</v>
      </c>
      <c r="H28" s="3" t="s">
        <v>261</v>
      </c>
      <c r="I28" s="3" t="s">
        <v>262</v>
      </c>
      <c r="J28" s="3" t="s">
        <v>60</v>
      </c>
      <c r="K28" s="3">
        <v>4</v>
      </c>
      <c r="L28" s="3">
        <v>0</v>
      </c>
      <c r="M28" s="3">
        <v>0</v>
      </c>
      <c r="N28" s="3">
        <v>350</v>
      </c>
      <c r="O28" s="3" t="s">
        <v>263</v>
      </c>
      <c r="P28" s="3">
        <v>4030</v>
      </c>
      <c r="Q28" s="3" t="s">
        <v>62</v>
      </c>
      <c r="R28" s="3" t="s">
        <v>264</v>
      </c>
      <c r="S28" s="3">
        <v>293</v>
      </c>
      <c r="T28" s="3">
        <v>0</v>
      </c>
      <c r="U28" s="3" t="s">
        <v>64</v>
      </c>
      <c r="V28" s="3" t="s">
        <v>265</v>
      </c>
      <c r="W28" s="3" t="s">
        <v>266</v>
      </c>
      <c r="X28" s="3" t="s">
        <v>267</v>
      </c>
      <c r="Y28" s="3" t="s">
        <v>68</v>
      </c>
    </row>
    <row r="29" spans="2:25">
      <c r="B29" s="4">
        <v>46241</v>
      </c>
      <c r="C29" s="3" t="s">
        <v>268</v>
      </c>
      <c r="D29" s="5">
        <v>0.5373148148148148</v>
      </c>
      <c r="E29" s="3" t="s">
        <v>269</v>
      </c>
      <c r="F29" s="3" t="s">
        <v>270</v>
      </c>
      <c r="G29" s="3" t="s">
        <v>79</v>
      </c>
      <c r="H29" s="3" t="s">
        <v>271</v>
      </c>
      <c r="I29" s="3" t="s">
        <v>272</v>
      </c>
      <c r="J29" s="3" t="s">
        <v>60</v>
      </c>
      <c r="K29" s="3">
        <v>4</v>
      </c>
      <c r="L29" s="3">
        <v>0</v>
      </c>
      <c r="M29" s="3">
        <v>0</v>
      </c>
      <c r="N29" s="3">
        <v>350</v>
      </c>
      <c r="O29" s="3" t="s">
        <v>273</v>
      </c>
      <c r="P29" s="3">
        <v>0</v>
      </c>
      <c r="Q29" s="3" t="s">
        <v>62</v>
      </c>
      <c r="R29" s="3" t="s">
        <v>274</v>
      </c>
      <c r="S29" s="3">
        <v>0</v>
      </c>
      <c r="T29" s="3">
        <v>0</v>
      </c>
      <c r="U29" s="3" t="s">
        <v>84</v>
      </c>
      <c r="V29" s="3" t="s">
        <v>268</v>
      </c>
      <c r="W29" s="3" t="s">
        <v>275</v>
      </c>
      <c r="X29" s="3" t="s">
        <v>276</v>
      </c>
      <c r="Y29" s="3" t="s">
        <v>68</v>
      </c>
    </row>
    <row r="30" spans="2:25" hidden="1">
      <c r="B30" s="4">
        <v>46241</v>
      </c>
      <c r="C30" s="3" t="s">
        <v>277</v>
      </c>
      <c r="D30" s="5">
        <v>0.5433796296296296</v>
      </c>
      <c r="E30" s="3" t="s">
        <v>278</v>
      </c>
      <c r="F30" s="3" t="s">
        <v>278</v>
      </c>
      <c r="G30" s="3" t="s">
        <v>537</v>
      </c>
      <c r="H30" s="3" t="s">
        <v>279</v>
      </c>
      <c r="I30" s="3" t="s">
        <v>210</v>
      </c>
      <c r="J30" s="3" t="s">
        <v>60</v>
      </c>
      <c r="K30" s="3">
        <v>5</v>
      </c>
      <c r="L30" s="3">
        <v>0</v>
      </c>
      <c r="M30" s="3">
        <v>0</v>
      </c>
      <c r="N30" s="3">
        <v>250</v>
      </c>
      <c r="O30" s="3" t="s">
        <v>280</v>
      </c>
      <c r="P30" s="3">
        <v>0</v>
      </c>
      <c r="Q30" s="3" t="s">
        <v>62</v>
      </c>
      <c r="R30" s="3" t="s">
        <v>281</v>
      </c>
      <c r="S30" s="3">
        <v>0</v>
      </c>
      <c r="T30" s="3">
        <v>0</v>
      </c>
      <c r="U30" s="3" t="s">
        <v>84</v>
      </c>
      <c r="V30" s="3" t="s">
        <v>277</v>
      </c>
      <c r="W30" s="3" t="s">
        <v>282</v>
      </c>
      <c r="X30" s="3" t="s">
        <v>283</v>
      </c>
      <c r="Y30" s="3" t="s">
        <v>68</v>
      </c>
    </row>
    <row r="31" spans="2:25" hidden="1">
      <c r="B31" s="4">
        <v>46241</v>
      </c>
      <c r="C31" s="3" t="s">
        <v>284</v>
      </c>
      <c r="D31" s="5">
        <v>0.54956018518518523</v>
      </c>
      <c r="E31" s="3" t="s">
        <v>167</v>
      </c>
      <c r="F31" s="3" t="s">
        <v>123</v>
      </c>
      <c r="G31" s="3" t="s">
        <v>18</v>
      </c>
      <c r="H31" s="3" t="s">
        <v>285</v>
      </c>
      <c r="I31" s="3" t="s">
        <v>218</v>
      </c>
      <c r="J31" s="3" t="s">
        <v>60</v>
      </c>
      <c r="K31" s="3">
        <v>6</v>
      </c>
      <c r="L31" s="3">
        <v>0</v>
      </c>
      <c r="M31" s="3">
        <v>0</v>
      </c>
      <c r="N31" s="3">
        <v>200</v>
      </c>
      <c r="O31" s="3" t="s">
        <v>170</v>
      </c>
      <c r="P31" s="3">
        <v>0</v>
      </c>
      <c r="Q31" s="3" t="s">
        <v>62</v>
      </c>
      <c r="R31" s="3" t="s">
        <v>286</v>
      </c>
      <c r="S31" s="3">
        <v>0</v>
      </c>
      <c r="T31" s="3">
        <v>0</v>
      </c>
      <c r="U31" s="3" t="s">
        <v>84</v>
      </c>
      <c r="V31" s="3" t="s">
        <v>284</v>
      </c>
      <c r="W31" s="3" t="s">
        <v>172</v>
      </c>
      <c r="X31" s="3" t="s">
        <v>287</v>
      </c>
      <c r="Y31" s="3" t="s">
        <v>68</v>
      </c>
    </row>
    <row r="32" spans="2:25">
      <c r="B32" s="4">
        <v>46241</v>
      </c>
      <c r="C32" s="3" t="s">
        <v>288</v>
      </c>
      <c r="D32" s="5">
        <v>0.54989583333333336</v>
      </c>
      <c r="E32" s="3" t="s">
        <v>289</v>
      </c>
      <c r="F32" s="3" t="s">
        <v>290</v>
      </c>
      <c r="G32" s="3" t="s">
        <v>79</v>
      </c>
      <c r="H32" s="3" t="s">
        <v>291</v>
      </c>
      <c r="I32" s="3" t="s">
        <v>292</v>
      </c>
      <c r="J32" s="3" t="s">
        <v>60</v>
      </c>
      <c r="K32" s="3">
        <v>3</v>
      </c>
      <c r="L32" s="3">
        <v>0</v>
      </c>
      <c r="M32" s="3">
        <v>0</v>
      </c>
      <c r="N32" s="3">
        <v>350</v>
      </c>
      <c r="O32" s="3" t="s">
        <v>293</v>
      </c>
      <c r="P32" s="3">
        <v>0</v>
      </c>
      <c r="Q32" s="3" t="s">
        <v>62</v>
      </c>
      <c r="R32" s="3" t="s">
        <v>294</v>
      </c>
      <c r="S32" s="3">
        <v>0</v>
      </c>
      <c r="T32" s="3">
        <v>0</v>
      </c>
      <c r="U32" s="3" t="s">
        <v>84</v>
      </c>
      <c r="V32" s="3" t="s">
        <v>288</v>
      </c>
      <c r="W32" s="3" t="s">
        <v>295</v>
      </c>
      <c r="X32" s="3" t="s">
        <v>296</v>
      </c>
      <c r="Y32" s="3" t="s">
        <v>68</v>
      </c>
    </row>
    <row r="33" spans="2:25" hidden="1">
      <c r="B33" s="4">
        <v>46241</v>
      </c>
      <c r="C33" s="3" t="s">
        <v>297</v>
      </c>
      <c r="D33" s="5">
        <v>0.55391203703703706</v>
      </c>
      <c r="E33" s="3" t="s">
        <v>150</v>
      </c>
      <c r="F33" s="3" t="s">
        <v>150</v>
      </c>
      <c r="G33" s="3" t="s">
        <v>22</v>
      </c>
      <c r="H33" s="3" t="s">
        <v>151</v>
      </c>
      <c r="I33" s="3" t="s">
        <v>298</v>
      </c>
      <c r="J33" s="3" t="s">
        <v>60</v>
      </c>
      <c r="K33" s="3">
        <v>5</v>
      </c>
      <c r="L33" s="3">
        <v>0</v>
      </c>
      <c r="M33" s="3">
        <v>0</v>
      </c>
      <c r="N33" s="3">
        <v>100</v>
      </c>
      <c r="O33" s="3" t="s">
        <v>153</v>
      </c>
      <c r="P33" s="3">
        <v>0</v>
      </c>
      <c r="Q33" s="3" t="s">
        <v>62</v>
      </c>
      <c r="R33" s="3" t="s">
        <v>299</v>
      </c>
      <c r="S33" s="3">
        <v>0</v>
      </c>
      <c r="T33" s="3">
        <v>0</v>
      </c>
      <c r="U33" s="3" t="s">
        <v>84</v>
      </c>
      <c r="V33" s="3" t="s">
        <v>297</v>
      </c>
      <c r="W33" s="3" t="s">
        <v>155</v>
      </c>
      <c r="X33" s="3" t="s">
        <v>300</v>
      </c>
      <c r="Y33" s="3" t="s">
        <v>68</v>
      </c>
    </row>
    <row r="34" spans="2:25">
      <c r="B34" s="4">
        <v>46241</v>
      </c>
      <c r="C34" s="3" t="s">
        <v>301</v>
      </c>
      <c r="D34" s="5">
        <v>0.55465277777777777</v>
      </c>
      <c r="E34" s="3" t="s">
        <v>302</v>
      </c>
      <c r="F34" s="3" t="s">
        <v>302</v>
      </c>
      <c r="G34" s="3" t="s">
        <v>89</v>
      </c>
      <c r="H34" s="3" t="s">
        <v>303</v>
      </c>
      <c r="I34" s="3" t="s">
        <v>304</v>
      </c>
      <c r="J34" s="3" t="s">
        <v>60</v>
      </c>
      <c r="K34" s="3">
        <v>4</v>
      </c>
      <c r="L34" s="3">
        <v>0</v>
      </c>
      <c r="M34" s="3">
        <v>0</v>
      </c>
      <c r="N34" s="3">
        <v>250</v>
      </c>
      <c r="O34" s="3" t="s">
        <v>305</v>
      </c>
      <c r="P34" s="3">
        <v>0</v>
      </c>
      <c r="Q34" s="3" t="s">
        <v>62</v>
      </c>
      <c r="R34" s="3" t="s">
        <v>306</v>
      </c>
      <c r="S34" s="3">
        <v>0</v>
      </c>
      <c r="T34" s="3">
        <v>0</v>
      </c>
      <c r="U34" s="3" t="s">
        <v>84</v>
      </c>
      <c r="V34" s="3" t="s">
        <v>301</v>
      </c>
      <c r="W34" s="3" t="s">
        <v>307</v>
      </c>
      <c r="X34" s="3" t="s">
        <v>308</v>
      </c>
      <c r="Y34" s="3" t="s">
        <v>68</v>
      </c>
    </row>
    <row r="35" spans="2:25" hidden="1">
      <c r="B35" s="4">
        <v>46241</v>
      </c>
      <c r="C35" s="3" t="s">
        <v>309</v>
      </c>
      <c r="D35" s="5">
        <v>0.55709490740740741</v>
      </c>
      <c r="E35" s="3" t="s">
        <v>310</v>
      </c>
      <c r="F35" s="3" t="s">
        <v>310</v>
      </c>
      <c r="G35" s="3" t="s">
        <v>18</v>
      </c>
      <c r="H35" s="3" t="s">
        <v>311</v>
      </c>
      <c r="I35" s="3" t="s">
        <v>169</v>
      </c>
      <c r="J35" s="3" t="s">
        <v>60</v>
      </c>
      <c r="K35" s="3">
        <v>4</v>
      </c>
      <c r="L35" s="3">
        <v>0</v>
      </c>
      <c r="M35" s="3">
        <v>0</v>
      </c>
      <c r="N35" s="3">
        <v>200</v>
      </c>
      <c r="O35" s="3" t="s">
        <v>312</v>
      </c>
      <c r="P35" s="3">
        <v>0</v>
      </c>
      <c r="Q35" s="3" t="s">
        <v>62</v>
      </c>
      <c r="R35" s="3" t="s">
        <v>313</v>
      </c>
      <c r="S35" s="3">
        <v>0</v>
      </c>
      <c r="T35" s="3">
        <v>0</v>
      </c>
      <c r="U35" s="3" t="s">
        <v>84</v>
      </c>
      <c r="V35" s="3" t="s">
        <v>309</v>
      </c>
      <c r="W35" s="3" t="s">
        <v>314</v>
      </c>
      <c r="X35" s="3" t="s">
        <v>315</v>
      </c>
      <c r="Y35" s="3" t="s">
        <v>68</v>
      </c>
    </row>
    <row r="36" spans="2:25">
      <c r="B36" s="4">
        <v>46241</v>
      </c>
      <c r="C36" s="3" t="s">
        <v>316</v>
      </c>
      <c r="D36" s="5">
        <v>0.56540509259259264</v>
      </c>
      <c r="E36" s="3" t="s">
        <v>317</v>
      </c>
      <c r="F36" s="3" t="s">
        <v>317</v>
      </c>
      <c r="G36" s="3" t="s">
        <v>89</v>
      </c>
      <c r="H36" s="3" t="s">
        <v>318</v>
      </c>
      <c r="I36" s="3" t="s">
        <v>262</v>
      </c>
      <c r="J36" s="3" t="s">
        <v>60</v>
      </c>
      <c r="K36" s="3">
        <v>2</v>
      </c>
      <c r="L36" s="3">
        <v>0</v>
      </c>
      <c r="M36" s="3">
        <v>1</v>
      </c>
      <c r="N36" s="3">
        <v>250</v>
      </c>
      <c r="O36" s="3" t="s">
        <v>319</v>
      </c>
      <c r="P36" s="3">
        <v>0</v>
      </c>
      <c r="Q36" s="3" t="s">
        <v>62</v>
      </c>
      <c r="R36" s="3" t="s">
        <v>320</v>
      </c>
      <c r="S36" s="3">
        <v>0</v>
      </c>
      <c r="T36" s="3">
        <v>0</v>
      </c>
      <c r="U36" s="3" t="s">
        <v>84</v>
      </c>
      <c r="V36" s="3" t="s">
        <v>316</v>
      </c>
      <c r="W36" s="3" t="s">
        <v>321</v>
      </c>
      <c r="X36" s="3" t="s">
        <v>322</v>
      </c>
      <c r="Y36" s="3" t="s">
        <v>68</v>
      </c>
    </row>
    <row r="37" spans="2:25" hidden="1">
      <c r="B37" s="4">
        <v>46241</v>
      </c>
      <c r="C37" s="3" t="s">
        <v>323</v>
      </c>
      <c r="D37" s="5">
        <v>0.56913194444444448</v>
      </c>
      <c r="E37" s="3" t="s">
        <v>324</v>
      </c>
      <c r="F37" s="3" t="s">
        <v>325</v>
      </c>
      <c r="G37" s="3" t="s">
        <v>106</v>
      </c>
      <c r="H37" s="3" t="s">
        <v>7</v>
      </c>
      <c r="I37" s="3" t="s">
        <v>326</v>
      </c>
      <c r="J37" s="3" t="s">
        <v>60</v>
      </c>
      <c r="K37" s="3">
        <v>2</v>
      </c>
      <c r="L37" s="3">
        <v>0</v>
      </c>
      <c r="M37" s="3">
        <v>3</v>
      </c>
      <c r="N37" s="3">
        <v>200</v>
      </c>
      <c r="O37" s="3" t="s">
        <v>327</v>
      </c>
      <c r="P37" s="3">
        <v>1415</v>
      </c>
      <c r="Q37" s="3" t="s">
        <v>62</v>
      </c>
      <c r="R37" s="3" t="s">
        <v>328</v>
      </c>
      <c r="S37" s="3">
        <v>94</v>
      </c>
      <c r="T37" s="3">
        <v>0</v>
      </c>
      <c r="U37" s="3" t="s">
        <v>64</v>
      </c>
      <c r="V37" s="3" t="s">
        <v>329</v>
      </c>
      <c r="W37" s="3" t="s">
        <v>330</v>
      </c>
      <c r="X37" s="3" t="s">
        <v>331</v>
      </c>
      <c r="Y37" s="3" t="s">
        <v>165</v>
      </c>
    </row>
    <row r="38" spans="2:25">
      <c r="B38" s="4">
        <v>46241</v>
      </c>
      <c r="C38" s="3" t="s">
        <v>332</v>
      </c>
      <c r="D38" s="5">
        <v>0.57278935185185187</v>
      </c>
      <c r="E38" s="3" t="s">
        <v>333</v>
      </c>
      <c r="F38" s="3" t="s">
        <v>123</v>
      </c>
      <c r="G38" s="3" t="s">
        <v>89</v>
      </c>
      <c r="H38" s="3" t="s">
        <v>177</v>
      </c>
      <c r="I38" s="3" t="s">
        <v>334</v>
      </c>
      <c r="J38" s="3" t="s">
        <v>60</v>
      </c>
      <c r="K38" s="3">
        <v>2</v>
      </c>
      <c r="L38" s="3">
        <v>0</v>
      </c>
      <c r="M38" s="3">
        <v>0</v>
      </c>
      <c r="N38" s="3">
        <v>250</v>
      </c>
      <c r="O38" s="3" t="s">
        <v>179</v>
      </c>
      <c r="P38" s="3">
        <v>0</v>
      </c>
      <c r="Q38" s="3" t="s">
        <v>62</v>
      </c>
      <c r="R38" s="3" t="s">
        <v>335</v>
      </c>
      <c r="S38" s="3">
        <v>0</v>
      </c>
      <c r="T38" s="3">
        <v>0</v>
      </c>
      <c r="U38" s="3" t="s">
        <v>84</v>
      </c>
      <c r="V38" s="3" t="s">
        <v>332</v>
      </c>
      <c r="W38" s="3" t="s">
        <v>336</v>
      </c>
      <c r="X38" s="3" t="s">
        <v>337</v>
      </c>
      <c r="Y38" s="3" t="s">
        <v>68</v>
      </c>
    </row>
    <row r="39" spans="2:25">
      <c r="B39" s="4">
        <v>46241</v>
      </c>
      <c r="C39" s="3" t="s">
        <v>338</v>
      </c>
      <c r="D39" s="5">
        <v>0.59021990740740737</v>
      </c>
      <c r="E39" s="3" t="s">
        <v>339</v>
      </c>
      <c r="F39" s="3" t="s">
        <v>340</v>
      </c>
      <c r="G39" s="3" t="s">
        <v>89</v>
      </c>
      <c r="H39" s="3" t="s">
        <v>341</v>
      </c>
      <c r="I39" s="3" t="s">
        <v>342</v>
      </c>
      <c r="J39" s="3" t="s">
        <v>60</v>
      </c>
      <c r="K39" s="3">
        <v>2</v>
      </c>
      <c r="L39" s="3">
        <v>0</v>
      </c>
      <c r="M39" s="3">
        <v>1</v>
      </c>
      <c r="N39" s="3">
        <v>250</v>
      </c>
      <c r="O39" s="3" t="s">
        <v>343</v>
      </c>
      <c r="P39" s="3">
        <v>1755</v>
      </c>
      <c r="Q39" s="3" t="s">
        <v>62</v>
      </c>
      <c r="R39" s="3" t="s">
        <v>344</v>
      </c>
      <c r="S39" s="3">
        <v>68</v>
      </c>
      <c r="T39" s="3">
        <v>0</v>
      </c>
      <c r="U39" s="3" t="s">
        <v>64</v>
      </c>
      <c r="V39" s="3" t="s">
        <v>345</v>
      </c>
      <c r="W39" s="3" t="s">
        <v>346</v>
      </c>
      <c r="X39" s="3" t="s">
        <v>347</v>
      </c>
      <c r="Y39" s="3" t="s">
        <v>68</v>
      </c>
    </row>
    <row r="40" spans="2:25" hidden="1">
      <c r="B40" s="4">
        <v>46241</v>
      </c>
      <c r="C40" s="3" t="s">
        <v>348</v>
      </c>
      <c r="D40" s="5">
        <v>0.60116898148148146</v>
      </c>
      <c r="E40" s="3" t="s">
        <v>349</v>
      </c>
      <c r="F40" s="3" t="s">
        <v>349</v>
      </c>
      <c r="G40" s="3" t="s">
        <v>18</v>
      </c>
      <c r="H40" s="3" t="s">
        <v>350</v>
      </c>
      <c r="I40" s="3" t="s">
        <v>351</v>
      </c>
      <c r="J40" s="3" t="s">
        <v>144</v>
      </c>
      <c r="K40" s="3">
        <v>2</v>
      </c>
      <c r="L40" s="3">
        <v>0</v>
      </c>
      <c r="M40" s="3">
        <v>0</v>
      </c>
      <c r="N40" s="3">
        <v>200</v>
      </c>
      <c r="O40" s="3" t="s">
        <v>352</v>
      </c>
      <c r="P40" s="3">
        <v>11890</v>
      </c>
      <c r="Q40" s="3" t="s">
        <v>62</v>
      </c>
      <c r="R40" s="3" t="s">
        <v>353</v>
      </c>
      <c r="S40" s="3">
        <v>935</v>
      </c>
      <c r="T40" s="3">
        <v>0</v>
      </c>
      <c r="U40" s="3" t="s">
        <v>64</v>
      </c>
      <c r="V40" s="3" t="s">
        <v>354</v>
      </c>
      <c r="W40" s="3" t="s">
        <v>355</v>
      </c>
      <c r="X40" s="3" t="s">
        <v>356</v>
      </c>
      <c r="Y40" s="3" t="s">
        <v>68</v>
      </c>
    </row>
    <row r="41" spans="2:25">
      <c r="B41" s="4">
        <v>46241</v>
      </c>
      <c r="C41" s="3" t="s">
        <v>357</v>
      </c>
      <c r="D41" s="5">
        <v>0.60388888888888892</v>
      </c>
      <c r="E41" s="3" t="s">
        <v>200</v>
      </c>
      <c r="F41" s="3" t="s">
        <v>358</v>
      </c>
      <c r="G41" s="3" t="s">
        <v>79</v>
      </c>
      <c r="H41" s="3" t="s">
        <v>201</v>
      </c>
      <c r="I41" s="3" t="s">
        <v>359</v>
      </c>
      <c r="J41" s="3" t="s">
        <v>60</v>
      </c>
      <c r="K41" s="3">
        <v>3</v>
      </c>
      <c r="L41" s="3">
        <v>0</v>
      </c>
      <c r="M41" s="3">
        <v>0</v>
      </c>
      <c r="N41" s="3">
        <v>350</v>
      </c>
      <c r="O41" s="3" t="s">
        <v>203</v>
      </c>
      <c r="P41" s="3">
        <v>0</v>
      </c>
      <c r="Q41" s="3" t="s">
        <v>62</v>
      </c>
      <c r="R41" s="3" t="s">
        <v>360</v>
      </c>
      <c r="S41" s="3">
        <v>0</v>
      </c>
      <c r="T41" s="3">
        <v>0</v>
      </c>
      <c r="U41" s="3" t="s">
        <v>84</v>
      </c>
      <c r="V41" s="3" t="s">
        <v>357</v>
      </c>
      <c r="W41" s="3" t="s">
        <v>205</v>
      </c>
      <c r="X41" s="3" t="s">
        <v>361</v>
      </c>
      <c r="Y41" s="3" t="s">
        <v>68</v>
      </c>
    </row>
    <row r="42" spans="2:25" hidden="1">
      <c r="B42" s="4">
        <v>46241</v>
      </c>
      <c r="C42" s="3" t="s">
        <v>362</v>
      </c>
      <c r="D42" s="5">
        <v>0.62646990740740738</v>
      </c>
      <c r="E42" s="3" t="s">
        <v>363</v>
      </c>
      <c r="F42" s="3" t="s">
        <v>363</v>
      </c>
      <c r="G42" s="3" t="s">
        <v>537</v>
      </c>
      <c r="H42" s="3" t="s">
        <v>364</v>
      </c>
      <c r="I42" s="3" t="s">
        <v>365</v>
      </c>
      <c r="J42" s="3" t="s">
        <v>60</v>
      </c>
      <c r="K42" s="3">
        <v>3</v>
      </c>
      <c r="L42" s="3">
        <v>0</v>
      </c>
      <c r="M42" s="3">
        <v>0</v>
      </c>
      <c r="N42" s="3">
        <v>250</v>
      </c>
      <c r="O42" s="3" t="s">
        <v>366</v>
      </c>
      <c r="P42" s="3">
        <v>0</v>
      </c>
      <c r="Q42" s="3" t="s">
        <v>62</v>
      </c>
      <c r="R42" s="3" t="s">
        <v>367</v>
      </c>
      <c r="S42" s="3">
        <v>0</v>
      </c>
      <c r="T42" s="3">
        <v>0</v>
      </c>
      <c r="U42" s="3" t="s">
        <v>84</v>
      </c>
      <c r="V42" s="3" t="s">
        <v>362</v>
      </c>
      <c r="W42" s="3" t="s">
        <v>368</v>
      </c>
      <c r="X42" s="3" t="s">
        <v>369</v>
      </c>
      <c r="Y42" s="3" t="s">
        <v>68</v>
      </c>
    </row>
    <row r="43" spans="2:25" hidden="1">
      <c r="B43" s="4">
        <v>46241</v>
      </c>
      <c r="C43" s="3" t="s">
        <v>370</v>
      </c>
      <c r="D43" s="5">
        <v>0.63412037037037039</v>
      </c>
      <c r="E43" s="3" t="s">
        <v>371</v>
      </c>
      <c r="F43" s="3" t="s">
        <v>358</v>
      </c>
      <c r="G43" s="3" t="s">
        <v>18</v>
      </c>
      <c r="H43" s="3" t="s">
        <v>372</v>
      </c>
      <c r="I43" s="3" t="s">
        <v>373</v>
      </c>
      <c r="J43" s="3" t="s">
        <v>60</v>
      </c>
      <c r="K43" s="3">
        <v>2</v>
      </c>
      <c r="L43" s="3">
        <v>0</v>
      </c>
      <c r="M43" s="3">
        <v>0</v>
      </c>
      <c r="N43" s="3">
        <v>200</v>
      </c>
      <c r="O43" s="3" t="s">
        <v>374</v>
      </c>
      <c r="P43" s="3">
        <v>0</v>
      </c>
      <c r="Q43" s="3" t="s">
        <v>62</v>
      </c>
      <c r="R43" s="3" t="s">
        <v>375</v>
      </c>
      <c r="S43" s="3">
        <v>0</v>
      </c>
      <c r="T43" s="3">
        <v>0</v>
      </c>
      <c r="U43" s="3" t="s">
        <v>84</v>
      </c>
      <c r="V43" s="3" t="s">
        <v>370</v>
      </c>
      <c r="W43" s="3" t="s">
        <v>376</v>
      </c>
      <c r="X43" s="3" t="s">
        <v>377</v>
      </c>
      <c r="Y43" s="3" t="s">
        <v>68</v>
      </c>
    </row>
    <row r="44" spans="2:25" hidden="1">
      <c r="B44" s="4">
        <v>46241</v>
      </c>
      <c r="C44" s="3" t="s">
        <v>378</v>
      </c>
      <c r="D44" s="5">
        <v>0.64648148148148143</v>
      </c>
      <c r="E44" s="3" t="s">
        <v>379</v>
      </c>
      <c r="F44" s="3" t="s">
        <v>379</v>
      </c>
      <c r="G44" s="3" t="s">
        <v>18</v>
      </c>
      <c r="H44" s="3" t="s">
        <v>380</v>
      </c>
      <c r="I44" s="3" t="s">
        <v>210</v>
      </c>
      <c r="J44" s="3" t="s">
        <v>60</v>
      </c>
      <c r="K44" s="3">
        <v>1</v>
      </c>
      <c r="L44" s="3">
        <v>0</v>
      </c>
      <c r="M44" s="3">
        <v>0</v>
      </c>
      <c r="N44" s="3">
        <v>200</v>
      </c>
      <c r="O44" s="3" t="s">
        <v>381</v>
      </c>
      <c r="P44" s="3">
        <v>10425</v>
      </c>
      <c r="Q44" s="3" t="s">
        <v>62</v>
      </c>
      <c r="R44" s="3" t="s">
        <v>382</v>
      </c>
      <c r="S44" s="3">
        <v>854</v>
      </c>
      <c r="T44" s="3">
        <v>0</v>
      </c>
      <c r="U44" s="3" t="s">
        <v>64</v>
      </c>
      <c r="V44" s="3" t="s">
        <v>383</v>
      </c>
      <c r="W44" s="3" t="s">
        <v>384</v>
      </c>
      <c r="X44" s="3" t="s">
        <v>385</v>
      </c>
      <c r="Y44" s="3" t="s">
        <v>68</v>
      </c>
    </row>
    <row r="45" spans="2:25" hidden="1">
      <c r="B45" s="4">
        <v>46241</v>
      </c>
      <c r="C45" s="3" t="s">
        <v>386</v>
      </c>
      <c r="D45" s="5">
        <v>0.66570601851851852</v>
      </c>
      <c r="E45" s="3" t="s">
        <v>387</v>
      </c>
      <c r="F45" s="3" t="s">
        <v>387</v>
      </c>
      <c r="G45" s="3" t="s">
        <v>235</v>
      </c>
      <c r="H45" s="3" t="s">
        <v>388</v>
      </c>
      <c r="I45" s="3" t="s">
        <v>389</v>
      </c>
      <c r="J45" s="3" t="s">
        <v>60</v>
      </c>
      <c r="K45" s="3">
        <v>2</v>
      </c>
      <c r="L45" s="3">
        <v>0</v>
      </c>
      <c r="M45" s="3">
        <v>0</v>
      </c>
      <c r="N45" s="3">
        <v>300</v>
      </c>
      <c r="O45" s="3" t="s">
        <v>390</v>
      </c>
      <c r="P45" s="3">
        <v>1574</v>
      </c>
      <c r="Q45" s="3" t="s">
        <v>62</v>
      </c>
      <c r="R45" s="3" t="s">
        <v>391</v>
      </c>
      <c r="S45" s="3">
        <v>96</v>
      </c>
      <c r="T45" s="3">
        <v>0</v>
      </c>
      <c r="U45" s="3" t="s">
        <v>64</v>
      </c>
      <c r="V45" s="3" t="s">
        <v>392</v>
      </c>
      <c r="W45" s="3" t="s">
        <v>393</v>
      </c>
      <c r="X45" s="3" t="s">
        <v>394</v>
      </c>
      <c r="Y45" s="3" t="s">
        <v>68</v>
      </c>
    </row>
    <row r="46" spans="2:25" hidden="1">
      <c r="B46" s="4">
        <v>46241</v>
      </c>
      <c r="C46" s="3" t="s">
        <v>395</v>
      </c>
      <c r="D46" s="5">
        <v>0.66677083333333331</v>
      </c>
      <c r="E46" s="3" t="s">
        <v>396</v>
      </c>
      <c r="F46" s="3" t="s">
        <v>396</v>
      </c>
      <c r="G46" s="3" t="s">
        <v>18</v>
      </c>
      <c r="H46" s="3" t="s">
        <v>397</v>
      </c>
      <c r="I46" s="3" t="s">
        <v>398</v>
      </c>
      <c r="J46" s="3" t="s">
        <v>60</v>
      </c>
      <c r="K46" s="3">
        <v>2</v>
      </c>
      <c r="L46" s="3">
        <v>0</v>
      </c>
      <c r="M46" s="3">
        <v>0</v>
      </c>
      <c r="N46" s="3">
        <v>200</v>
      </c>
      <c r="O46" s="3" t="s">
        <v>399</v>
      </c>
      <c r="P46" s="3">
        <v>0</v>
      </c>
      <c r="Q46" s="3" t="s">
        <v>62</v>
      </c>
      <c r="R46" s="3" t="s">
        <v>400</v>
      </c>
      <c r="S46" s="3">
        <v>0</v>
      </c>
      <c r="T46" s="3">
        <v>0</v>
      </c>
      <c r="U46" s="3" t="s">
        <v>84</v>
      </c>
      <c r="V46" s="3" t="s">
        <v>395</v>
      </c>
      <c r="W46" s="3" t="s">
        <v>401</v>
      </c>
      <c r="X46" s="3" t="s">
        <v>402</v>
      </c>
      <c r="Y46" s="3" t="s">
        <v>68</v>
      </c>
    </row>
    <row r="47" spans="2:25">
      <c r="B47" s="4">
        <v>46241</v>
      </c>
      <c r="C47" s="3" t="s">
        <v>403</v>
      </c>
      <c r="D47" s="5">
        <v>0.66935185185185186</v>
      </c>
      <c r="E47" s="3" t="s">
        <v>404</v>
      </c>
      <c r="F47" s="3" t="s">
        <v>404</v>
      </c>
      <c r="G47" s="3" t="s">
        <v>79</v>
      </c>
      <c r="H47" s="3" t="s">
        <v>405</v>
      </c>
      <c r="I47" s="3" t="s">
        <v>406</v>
      </c>
      <c r="J47" s="3" t="s">
        <v>60</v>
      </c>
      <c r="K47" s="3">
        <v>4</v>
      </c>
      <c r="L47" s="3">
        <v>0</v>
      </c>
      <c r="M47" s="3">
        <v>2</v>
      </c>
      <c r="N47" s="3">
        <v>350</v>
      </c>
      <c r="O47" s="3" t="s">
        <v>407</v>
      </c>
      <c r="P47" s="3">
        <v>8160</v>
      </c>
      <c r="Q47" s="3" t="s">
        <v>62</v>
      </c>
      <c r="R47" s="3" t="s">
        <v>408</v>
      </c>
      <c r="S47" s="3">
        <v>679</v>
      </c>
      <c r="T47" s="3">
        <v>0</v>
      </c>
      <c r="U47" s="3" t="s">
        <v>64</v>
      </c>
      <c r="V47" s="3" t="s">
        <v>409</v>
      </c>
      <c r="W47" s="3" t="s">
        <v>410</v>
      </c>
      <c r="X47" s="3" t="s">
        <v>411</v>
      </c>
      <c r="Y47" s="3" t="s">
        <v>68</v>
      </c>
    </row>
    <row r="48" spans="2:25" hidden="1">
      <c r="B48" s="4">
        <v>46241</v>
      </c>
      <c r="C48" s="3" t="s">
        <v>412</v>
      </c>
      <c r="D48" s="5">
        <v>0.67634259259259255</v>
      </c>
      <c r="E48" s="3" t="s">
        <v>413</v>
      </c>
      <c r="F48" s="3" t="s">
        <v>413</v>
      </c>
      <c r="G48" s="3" t="s">
        <v>18</v>
      </c>
      <c r="H48" s="3" t="s">
        <v>414</v>
      </c>
      <c r="I48" s="3" t="s">
        <v>415</v>
      </c>
      <c r="J48" s="3" t="s">
        <v>60</v>
      </c>
      <c r="K48" s="3">
        <v>3</v>
      </c>
      <c r="L48" s="3">
        <v>0</v>
      </c>
      <c r="M48" s="3">
        <v>2</v>
      </c>
      <c r="N48" s="3">
        <v>200</v>
      </c>
      <c r="O48" s="3" t="s">
        <v>416</v>
      </c>
      <c r="P48" s="3">
        <v>0</v>
      </c>
      <c r="Q48" s="3" t="s">
        <v>62</v>
      </c>
      <c r="R48" s="3" t="s">
        <v>417</v>
      </c>
      <c r="S48" s="3">
        <v>0</v>
      </c>
      <c r="T48" s="3">
        <v>0</v>
      </c>
      <c r="U48" s="3" t="s">
        <v>84</v>
      </c>
      <c r="V48" s="3" t="s">
        <v>412</v>
      </c>
      <c r="W48" s="3" t="s">
        <v>418</v>
      </c>
      <c r="X48" s="3" t="s">
        <v>419</v>
      </c>
      <c r="Y48" s="3" t="s">
        <v>68</v>
      </c>
    </row>
    <row r="49" spans="2:25">
      <c r="B49" s="4">
        <v>46241</v>
      </c>
      <c r="C49" s="3" t="s">
        <v>420</v>
      </c>
      <c r="D49" s="5">
        <v>0.69481481481481477</v>
      </c>
      <c r="E49" s="3" t="s">
        <v>421</v>
      </c>
      <c r="F49" s="3" t="s">
        <v>421</v>
      </c>
      <c r="G49" s="3" t="s">
        <v>89</v>
      </c>
      <c r="H49" s="3" t="s">
        <v>422</v>
      </c>
      <c r="I49" s="3" t="s">
        <v>423</v>
      </c>
      <c r="J49" s="3" t="s">
        <v>60</v>
      </c>
      <c r="K49" s="3">
        <v>2</v>
      </c>
      <c r="L49" s="3">
        <v>0</v>
      </c>
      <c r="M49" s="3">
        <v>0</v>
      </c>
      <c r="N49" s="3">
        <v>250</v>
      </c>
      <c r="O49" s="3" t="s">
        <v>424</v>
      </c>
      <c r="P49" s="3">
        <v>590</v>
      </c>
      <c r="Q49" s="3" t="s">
        <v>62</v>
      </c>
      <c r="R49" s="3" t="s">
        <v>425</v>
      </c>
      <c r="S49" s="3">
        <v>22</v>
      </c>
      <c r="T49" s="3">
        <v>0</v>
      </c>
      <c r="U49" s="3" t="s">
        <v>64</v>
      </c>
      <c r="V49" s="3" t="s">
        <v>426</v>
      </c>
      <c r="W49" s="3" t="s">
        <v>427</v>
      </c>
      <c r="X49" s="3" t="s">
        <v>428</v>
      </c>
      <c r="Y49" s="3" t="s">
        <v>68</v>
      </c>
    </row>
    <row r="50" spans="2:25">
      <c r="B50" s="4">
        <v>46241</v>
      </c>
      <c r="C50" s="3" t="s">
        <v>429</v>
      </c>
      <c r="D50" s="5">
        <v>0.70929398148148148</v>
      </c>
      <c r="E50" s="3" t="s">
        <v>430</v>
      </c>
      <c r="F50" s="3" t="s">
        <v>430</v>
      </c>
      <c r="G50" s="3" t="s">
        <v>79</v>
      </c>
      <c r="H50" s="3" t="s">
        <v>431</v>
      </c>
      <c r="I50" s="3" t="s">
        <v>432</v>
      </c>
      <c r="J50" s="3" t="s">
        <v>60</v>
      </c>
      <c r="K50" s="3">
        <v>2</v>
      </c>
      <c r="L50" s="3">
        <v>0</v>
      </c>
      <c r="M50" s="3">
        <v>2</v>
      </c>
      <c r="N50" s="3">
        <v>350</v>
      </c>
      <c r="O50" s="3" t="s">
        <v>433</v>
      </c>
      <c r="P50" s="3">
        <v>825</v>
      </c>
      <c r="Q50" s="3" t="s">
        <v>62</v>
      </c>
      <c r="R50" s="3" t="s">
        <v>434</v>
      </c>
      <c r="S50" s="3">
        <v>31</v>
      </c>
      <c r="T50" s="3">
        <v>0</v>
      </c>
      <c r="U50" s="3" t="s">
        <v>64</v>
      </c>
      <c r="V50" s="3" t="s">
        <v>435</v>
      </c>
      <c r="W50" s="3" t="s">
        <v>436</v>
      </c>
      <c r="X50" s="3" t="s">
        <v>437</v>
      </c>
      <c r="Y50" s="3" t="s">
        <v>68</v>
      </c>
    </row>
    <row r="51" spans="2:25" hidden="1">
      <c r="B51" s="4">
        <v>46241</v>
      </c>
      <c r="C51" s="3" t="s">
        <v>438</v>
      </c>
      <c r="D51" s="5">
        <v>0.71288194444444442</v>
      </c>
      <c r="E51" s="3" t="s">
        <v>439</v>
      </c>
      <c r="F51" s="3" t="s">
        <v>123</v>
      </c>
      <c r="G51" s="3" t="s">
        <v>18</v>
      </c>
      <c r="H51" s="3" t="s">
        <v>440</v>
      </c>
      <c r="I51" s="3" t="s">
        <v>441</v>
      </c>
      <c r="J51" s="3" t="s">
        <v>60</v>
      </c>
      <c r="K51" s="3">
        <v>2</v>
      </c>
      <c r="L51" s="3">
        <v>0</v>
      </c>
      <c r="M51" s="3">
        <v>0</v>
      </c>
      <c r="N51" s="3">
        <v>200</v>
      </c>
      <c r="O51" s="3" t="s">
        <v>442</v>
      </c>
      <c r="P51" s="3">
        <v>0</v>
      </c>
      <c r="Q51" s="3" t="s">
        <v>62</v>
      </c>
      <c r="R51" s="3" t="s">
        <v>443</v>
      </c>
      <c r="S51" s="3">
        <v>0</v>
      </c>
      <c r="T51" s="3">
        <v>0</v>
      </c>
      <c r="U51" s="3" t="s">
        <v>84</v>
      </c>
      <c r="V51" s="3" t="s">
        <v>438</v>
      </c>
      <c r="W51" s="3" t="s">
        <v>444</v>
      </c>
      <c r="X51" s="3" t="s">
        <v>445</v>
      </c>
      <c r="Y51" s="3" t="s">
        <v>68</v>
      </c>
    </row>
    <row r="52" spans="2:25">
      <c r="B52" s="4">
        <v>46241</v>
      </c>
      <c r="C52" s="3" t="s">
        <v>446</v>
      </c>
      <c r="D52" s="5">
        <v>0.71865740740740736</v>
      </c>
      <c r="E52" s="3" t="s">
        <v>447</v>
      </c>
      <c r="F52" s="3" t="s">
        <v>448</v>
      </c>
      <c r="G52" s="3" t="s">
        <v>79</v>
      </c>
      <c r="H52" s="3" t="s">
        <v>449</v>
      </c>
      <c r="I52" s="3" t="s">
        <v>447</v>
      </c>
      <c r="J52" s="3" t="s">
        <v>60</v>
      </c>
      <c r="K52" s="3">
        <v>2</v>
      </c>
      <c r="L52" s="3">
        <v>0</v>
      </c>
      <c r="M52" s="3">
        <v>0</v>
      </c>
      <c r="N52" s="3">
        <v>350</v>
      </c>
      <c r="O52" s="3" t="s">
        <v>450</v>
      </c>
      <c r="P52" s="3">
        <v>0</v>
      </c>
      <c r="Q52" s="3" t="s">
        <v>62</v>
      </c>
      <c r="R52" s="3" t="s">
        <v>451</v>
      </c>
      <c r="S52" s="3">
        <v>0</v>
      </c>
      <c r="T52" s="3">
        <v>0</v>
      </c>
      <c r="U52" s="3" t="s">
        <v>84</v>
      </c>
      <c r="V52" s="3" t="s">
        <v>446</v>
      </c>
      <c r="W52" s="3" t="s">
        <v>452</v>
      </c>
      <c r="X52" s="3" t="s">
        <v>453</v>
      </c>
      <c r="Y52" s="3" t="s">
        <v>68</v>
      </c>
    </row>
    <row r="53" spans="2:25">
      <c r="B53" s="4">
        <v>46241</v>
      </c>
      <c r="C53" s="3" t="s">
        <v>454</v>
      </c>
      <c r="D53" s="5">
        <v>0.71899305555555559</v>
      </c>
      <c r="E53" s="3" t="s">
        <v>455</v>
      </c>
      <c r="F53" s="3" t="s">
        <v>455</v>
      </c>
      <c r="G53" s="3" t="s">
        <v>89</v>
      </c>
      <c r="H53" s="3" t="s">
        <v>7</v>
      </c>
      <c r="I53" s="3" t="s">
        <v>456</v>
      </c>
      <c r="J53" s="3" t="s">
        <v>144</v>
      </c>
      <c r="K53" s="3">
        <v>2</v>
      </c>
      <c r="L53" s="3">
        <v>0</v>
      </c>
      <c r="M53" s="3">
        <v>0</v>
      </c>
      <c r="N53" s="3">
        <v>250</v>
      </c>
      <c r="O53" s="3" t="s">
        <v>457</v>
      </c>
      <c r="P53" s="3">
        <v>0</v>
      </c>
      <c r="Q53" s="3" t="s">
        <v>62</v>
      </c>
      <c r="R53" s="3" t="s">
        <v>458</v>
      </c>
      <c r="S53" s="3">
        <v>0</v>
      </c>
      <c r="T53" s="3">
        <v>0</v>
      </c>
      <c r="U53" s="3" t="s">
        <v>84</v>
      </c>
      <c r="V53" s="3" t="s">
        <v>454</v>
      </c>
      <c r="W53" s="3" t="s">
        <v>459</v>
      </c>
      <c r="X53" s="3" t="s">
        <v>460</v>
      </c>
      <c r="Y53" s="3" t="s">
        <v>68</v>
      </c>
    </row>
    <row r="54" spans="2:25">
      <c r="B54" s="4">
        <v>46241</v>
      </c>
      <c r="C54" s="3" t="s">
        <v>461</v>
      </c>
      <c r="D54" s="5">
        <v>0.72047453703703701</v>
      </c>
      <c r="E54" s="3" t="s">
        <v>462</v>
      </c>
      <c r="F54" s="3" t="s">
        <v>325</v>
      </c>
      <c r="G54" s="3" t="s">
        <v>89</v>
      </c>
      <c r="H54" s="3" t="s">
        <v>463</v>
      </c>
      <c r="I54" s="3" t="s">
        <v>464</v>
      </c>
      <c r="J54" s="3" t="s">
        <v>144</v>
      </c>
      <c r="K54" s="3">
        <v>4</v>
      </c>
      <c r="L54" s="3">
        <v>0</v>
      </c>
      <c r="M54" s="3">
        <v>0</v>
      </c>
      <c r="N54" s="3">
        <v>250</v>
      </c>
      <c r="O54" s="3" t="s">
        <v>465</v>
      </c>
      <c r="P54" s="3">
        <v>0</v>
      </c>
      <c r="Q54" s="3" t="s">
        <v>62</v>
      </c>
      <c r="R54" s="3" t="s">
        <v>466</v>
      </c>
      <c r="S54" s="3">
        <v>0</v>
      </c>
      <c r="T54" s="3">
        <v>0</v>
      </c>
      <c r="U54" s="3" t="s">
        <v>84</v>
      </c>
      <c r="V54" s="3" t="s">
        <v>461</v>
      </c>
      <c r="W54" s="3" t="s">
        <v>467</v>
      </c>
      <c r="X54" s="3" t="s">
        <v>468</v>
      </c>
      <c r="Y54" s="3" t="s">
        <v>68</v>
      </c>
    </row>
    <row r="55" spans="2:25">
      <c r="B55" s="4">
        <v>46241</v>
      </c>
      <c r="C55" s="3" t="s">
        <v>469</v>
      </c>
      <c r="D55" s="5">
        <v>0.72082175925925929</v>
      </c>
      <c r="E55" s="3" t="s">
        <v>470</v>
      </c>
      <c r="F55" s="3" t="s">
        <v>470</v>
      </c>
      <c r="G55" s="3" t="s">
        <v>79</v>
      </c>
      <c r="H55" s="3" t="s">
        <v>471</v>
      </c>
      <c r="I55" s="3" t="s">
        <v>472</v>
      </c>
      <c r="J55" s="3" t="s">
        <v>60</v>
      </c>
      <c r="K55" s="3">
        <v>2</v>
      </c>
      <c r="L55" s="3">
        <v>0</v>
      </c>
      <c r="M55" s="3">
        <v>0</v>
      </c>
      <c r="N55" s="3">
        <v>350</v>
      </c>
      <c r="O55" s="3" t="s">
        <v>473</v>
      </c>
      <c r="P55" s="3">
        <v>0</v>
      </c>
      <c r="Q55" s="3" t="s">
        <v>62</v>
      </c>
      <c r="R55" s="3" t="s">
        <v>474</v>
      </c>
      <c r="S55" s="3">
        <v>0</v>
      </c>
      <c r="T55" s="3">
        <v>0</v>
      </c>
      <c r="U55" s="3" t="s">
        <v>84</v>
      </c>
      <c r="V55" s="3" t="s">
        <v>469</v>
      </c>
      <c r="W55" s="3" t="s">
        <v>475</v>
      </c>
      <c r="X55" s="3" t="s">
        <v>476</v>
      </c>
      <c r="Y55" s="3" t="s">
        <v>68</v>
      </c>
    </row>
    <row r="56" spans="2:25" hidden="1">
      <c r="B56" s="4">
        <v>46241</v>
      </c>
      <c r="C56" s="3" t="s">
        <v>477</v>
      </c>
      <c r="D56" s="5">
        <v>0.73115740740740742</v>
      </c>
      <c r="E56" s="3" t="s">
        <v>478</v>
      </c>
      <c r="F56" s="3" t="s">
        <v>478</v>
      </c>
      <c r="G56" s="3" t="s">
        <v>18</v>
      </c>
      <c r="H56" s="3" t="s">
        <v>479</v>
      </c>
      <c r="I56" s="3" t="s">
        <v>480</v>
      </c>
      <c r="J56" s="3" t="s">
        <v>144</v>
      </c>
      <c r="K56" s="3">
        <v>2</v>
      </c>
      <c r="L56" s="3">
        <v>0</v>
      </c>
      <c r="M56" s="3">
        <v>3</v>
      </c>
      <c r="N56" s="3">
        <v>200</v>
      </c>
      <c r="O56" s="3" t="s">
        <v>481</v>
      </c>
      <c r="P56" s="3">
        <v>2625</v>
      </c>
      <c r="Q56" s="3" t="s">
        <v>62</v>
      </c>
      <c r="R56" s="3" t="s">
        <v>482</v>
      </c>
      <c r="S56" s="3">
        <v>236</v>
      </c>
      <c r="T56" s="3">
        <v>0</v>
      </c>
      <c r="U56" s="3" t="s">
        <v>64</v>
      </c>
      <c r="V56" s="3" t="s">
        <v>483</v>
      </c>
      <c r="W56" s="3" t="s">
        <v>484</v>
      </c>
      <c r="X56" s="3" t="s">
        <v>485</v>
      </c>
      <c r="Y56" s="3" t="s">
        <v>68</v>
      </c>
    </row>
    <row r="57" spans="2:25" hidden="1">
      <c r="B57" s="4">
        <v>46241</v>
      </c>
      <c r="C57" s="3" t="s">
        <v>486</v>
      </c>
      <c r="D57" s="5">
        <v>0.74554398148148149</v>
      </c>
      <c r="E57" s="3" t="s">
        <v>487</v>
      </c>
      <c r="F57" s="3" t="s">
        <v>325</v>
      </c>
      <c r="G57" s="3" t="s">
        <v>18</v>
      </c>
      <c r="H57" s="3" t="s">
        <v>488</v>
      </c>
      <c r="I57" s="3" t="s">
        <v>489</v>
      </c>
      <c r="J57" s="3" t="s">
        <v>60</v>
      </c>
      <c r="K57" s="3">
        <v>2</v>
      </c>
      <c r="L57" s="3">
        <v>0</v>
      </c>
      <c r="M57" s="3">
        <v>0</v>
      </c>
      <c r="N57" s="3">
        <v>200</v>
      </c>
      <c r="O57" s="3" t="s">
        <v>61</v>
      </c>
      <c r="P57" s="3">
        <v>3590</v>
      </c>
      <c r="Q57" s="3" t="s">
        <v>62</v>
      </c>
      <c r="R57" s="3" t="s">
        <v>490</v>
      </c>
      <c r="S57" s="3">
        <v>270</v>
      </c>
      <c r="T57" s="3">
        <v>0</v>
      </c>
      <c r="U57" s="3" t="s">
        <v>64</v>
      </c>
      <c r="V57" s="3" t="s">
        <v>491</v>
      </c>
      <c r="W57" s="3" t="s">
        <v>66</v>
      </c>
      <c r="X57" s="3" t="s">
        <v>492</v>
      </c>
      <c r="Y57" s="3" t="s">
        <v>68</v>
      </c>
    </row>
    <row r="58" spans="2:25">
      <c r="B58" s="4">
        <v>46241</v>
      </c>
      <c r="C58" s="3" t="s">
        <v>493</v>
      </c>
      <c r="D58" s="5">
        <v>0.7562268518518519</v>
      </c>
      <c r="E58" s="3" t="s">
        <v>494</v>
      </c>
      <c r="F58" s="3" t="s">
        <v>494</v>
      </c>
      <c r="G58" s="3" t="s">
        <v>89</v>
      </c>
      <c r="H58" s="3" t="s">
        <v>495</v>
      </c>
      <c r="I58" s="3" t="s">
        <v>496</v>
      </c>
      <c r="J58" s="3" t="s">
        <v>60</v>
      </c>
      <c r="K58" s="3">
        <v>1</v>
      </c>
      <c r="L58" s="3">
        <v>0</v>
      </c>
      <c r="M58" s="3">
        <v>0</v>
      </c>
      <c r="N58" s="3">
        <v>250</v>
      </c>
      <c r="O58" s="3" t="s">
        <v>497</v>
      </c>
      <c r="P58" s="3">
        <v>500</v>
      </c>
      <c r="Q58" s="3" t="s">
        <v>62</v>
      </c>
      <c r="R58" s="3" t="s">
        <v>498</v>
      </c>
      <c r="S58" s="3">
        <v>15</v>
      </c>
      <c r="T58" s="3">
        <v>0</v>
      </c>
      <c r="U58" s="3" t="s">
        <v>64</v>
      </c>
      <c r="V58" s="3" t="s">
        <v>499</v>
      </c>
      <c r="W58" s="3" t="s">
        <v>500</v>
      </c>
      <c r="X58" s="3" t="s">
        <v>501</v>
      </c>
      <c r="Y58" s="3" t="s">
        <v>68</v>
      </c>
    </row>
    <row r="59" spans="2:25">
      <c r="B59" s="4">
        <v>46241</v>
      </c>
      <c r="C59" s="3" t="s">
        <v>502</v>
      </c>
      <c r="D59" s="5">
        <v>0.76466435185185189</v>
      </c>
      <c r="E59" s="3" t="s">
        <v>503</v>
      </c>
      <c r="F59" s="3" t="s">
        <v>503</v>
      </c>
      <c r="G59" s="3" t="s">
        <v>79</v>
      </c>
      <c r="H59" s="3" t="s">
        <v>7</v>
      </c>
      <c r="I59" s="3" t="s">
        <v>504</v>
      </c>
      <c r="J59" s="3" t="s">
        <v>60</v>
      </c>
      <c r="K59" s="3">
        <v>3</v>
      </c>
      <c r="L59" s="3">
        <v>0</v>
      </c>
      <c r="M59" s="3">
        <v>0</v>
      </c>
      <c r="N59" s="3">
        <v>350</v>
      </c>
      <c r="O59" s="3" t="s">
        <v>505</v>
      </c>
      <c r="P59" s="3">
        <v>0</v>
      </c>
      <c r="Q59" s="3" t="s">
        <v>62</v>
      </c>
      <c r="R59" s="3" t="s">
        <v>506</v>
      </c>
      <c r="S59" s="3">
        <v>0</v>
      </c>
      <c r="T59" s="3">
        <v>0</v>
      </c>
      <c r="U59" s="3" t="s">
        <v>84</v>
      </c>
      <c r="V59" s="3" t="s">
        <v>502</v>
      </c>
      <c r="W59" s="3" t="s">
        <v>507</v>
      </c>
      <c r="X59" s="3" t="s">
        <v>508</v>
      </c>
      <c r="Y59" s="3" t="s">
        <v>68</v>
      </c>
    </row>
    <row r="60" spans="2:25">
      <c r="B60" s="4">
        <v>46241</v>
      </c>
      <c r="C60" s="3" t="s">
        <v>509</v>
      </c>
      <c r="D60" s="5">
        <v>0.76623842592592595</v>
      </c>
      <c r="E60" s="3" t="s">
        <v>510</v>
      </c>
      <c r="F60" s="3" t="s">
        <v>511</v>
      </c>
      <c r="G60" s="3" t="s">
        <v>79</v>
      </c>
      <c r="H60" s="3" t="s">
        <v>512</v>
      </c>
      <c r="I60" s="3" t="s">
        <v>513</v>
      </c>
      <c r="J60" s="3" t="s">
        <v>60</v>
      </c>
      <c r="K60" s="3">
        <v>4</v>
      </c>
      <c r="L60" s="3">
        <v>0</v>
      </c>
      <c r="M60" s="3">
        <v>0</v>
      </c>
      <c r="N60" s="3">
        <v>350</v>
      </c>
      <c r="O60" s="3" t="s">
        <v>514</v>
      </c>
      <c r="P60" s="3">
        <v>0</v>
      </c>
      <c r="Q60" s="3" t="s">
        <v>62</v>
      </c>
      <c r="R60" s="3" t="s">
        <v>515</v>
      </c>
      <c r="S60" s="3">
        <v>0</v>
      </c>
      <c r="T60" s="3">
        <v>0</v>
      </c>
      <c r="U60" s="3" t="s">
        <v>84</v>
      </c>
      <c r="V60" s="3" t="s">
        <v>509</v>
      </c>
      <c r="W60" s="3" t="s">
        <v>516</v>
      </c>
      <c r="X60" s="3" t="s">
        <v>517</v>
      </c>
      <c r="Y60" s="3" t="s">
        <v>68</v>
      </c>
    </row>
    <row r="61" spans="2:25" hidden="1">
      <c r="B61" s="4">
        <v>46241</v>
      </c>
      <c r="C61" s="3" t="s">
        <v>518</v>
      </c>
      <c r="D61" s="5">
        <v>0.77287037037037032</v>
      </c>
      <c r="E61" s="3" t="s">
        <v>519</v>
      </c>
      <c r="F61" s="3" t="s">
        <v>520</v>
      </c>
      <c r="G61" s="3" t="s">
        <v>18</v>
      </c>
      <c r="H61" s="3" t="s">
        <v>521</v>
      </c>
      <c r="I61" s="3" t="s">
        <v>522</v>
      </c>
      <c r="J61" s="3" t="s">
        <v>60</v>
      </c>
      <c r="K61" s="3">
        <v>3</v>
      </c>
      <c r="L61" s="3">
        <v>0</v>
      </c>
      <c r="M61" s="3">
        <v>0</v>
      </c>
      <c r="N61" s="3">
        <v>200</v>
      </c>
      <c r="O61" s="3" t="s">
        <v>523</v>
      </c>
      <c r="P61" s="3">
        <v>0</v>
      </c>
      <c r="Q61" s="3" t="s">
        <v>62</v>
      </c>
      <c r="R61" s="3" t="s">
        <v>524</v>
      </c>
      <c r="S61" s="3">
        <v>0</v>
      </c>
      <c r="T61" s="3">
        <v>0</v>
      </c>
      <c r="U61" s="3" t="s">
        <v>84</v>
      </c>
      <c r="V61" s="3" t="s">
        <v>518</v>
      </c>
      <c r="W61" s="3" t="s">
        <v>525</v>
      </c>
      <c r="X61" s="3" t="s">
        <v>526</v>
      </c>
      <c r="Y61" s="3" t="s">
        <v>68</v>
      </c>
    </row>
    <row r="62" spans="2:25" hidden="1">
      <c r="B62" s="4">
        <v>46241</v>
      </c>
      <c r="C62" s="3" t="s">
        <v>527</v>
      </c>
      <c r="D62" s="5">
        <v>0.78210648148148143</v>
      </c>
      <c r="E62" s="3" t="s">
        <v>528</v>
      </c>
      <c r="F62" s="3" t="s">
        <v>528</v>
      </c>
      <c r="G62" s="3" t="s">
        <v>18</v>
      </c>
      <c r="H62" s="3" t="s">
        <v>529</v>
      </c>
      <c r="I62" s="3" t="s">
        <v>530</v>
      </c>
      <c r="J62" s="3" t="s">
        <v>60</v>
      </c>
      <c r="K62" s="3">
        <v>4</v>
      </c>
      <c r="L62" s="3">
        <v>0</v>
      </c>
      <c r="M62" s="3">
        <v>0</v>
      </c>
      <c r="N62" s="3">
        <v>200</v>
      </c>
      <c r="O62" s="3" t="s">
        <v>531</v>
      </c>
      <c r="P62" s="3">
        <v>0</v>
      </c>
      <c r="Q62" s="3" t="s">
        <v>62</v>
      </c>
      <c r="R62" s="3" t="s">
        <v>532</v>
      </c>
      <c r="S62" s="3">
        <v>0</v>
      </c>
      <c r="T62" s="3">
        <v>0</v>
      </c>
      <c r="U62" s="3" t="s">
        <v>84</v>
      </c>
      <c r="V62" s="3" t="s">
        <v>527</v>
      </c>
      <c r="W62" s="3" t="s">
        <v>533</v>
      </c>
      <c r="X62" s="3" t="s">
        <v>534</v>
      </c>
      <c r="Y62" s="3" t="s">
        <v>61</v>
      </c>
    </row>
    <row r="63" spans="2:25" hidden="1">
      <c r="B63" s="4">
        <v>46241</v>
      </c>
      <c r="C63" s="3" t="s">
        <v>535</v>
      </c>
      <c r="D63" s="5">
        <v>0.78562500000000002</v>
      </c>
      <c r="E63" s="3" t="s">
        <v>536</v>
      </c>
      <c r="F63" s="3" t="s">
        <v>536</v>
      </c>
      <c r="G63" s="3" t="s">
        <v>18</v>
      </c>
      <c r="H63" s="3" t="s">
        <v>538</v>
      </c>
      <c r="I63" s="3" t="s">
        <v>415</v>
      </c>
      <c r="J63" s="3" t="s">
        <v>60</v>
      </c>
      <c r="K63" s="3">
        <v>5</v>
      </c>
      <c r="L63" s="3">
        <v>0</v>
      </c>
      <c r="M63" s="3">
        <v>0</v>
      </c>
      <c r="N63" s="3">
        <v>200</v>
      </c>
      <c r="O63" s="3" t="s">
        <v>539</v>
      </c>
      <c r="P63" s="3">
        <v>1895</v>
      </c>
      <c r="Q63" s="3" t="s">
        <v>62</v>
      </c>
      <c r="R63" s="3" t="s">
        <v>540</v>
      </c>
      <c r="S63" s="3">
        <v>133</v>
      </c>
      <c r="T63" s="3">
        <v>0</v>
      </c>
      <c r="U63" s="3" t="s">
        <v>64</v>
      </c>
      <c r="V63" s="3" t="s">
        <v>541</v>
      </c>
      <c r="W63" s="3" t="s">
        <v>542</v>
      </c>
      <c r="X63" s="3" t="s">
        <v>543</v>
      </c>
      <c r="Y63" s="3" t="s">
        <v>544</v>
      </c>
    </row>
    <row r="64" spans="2:25">
      <c r="B64" s="4">
        <v>46241</v>
      </c>
      <c r="C64" s="3" t="s">
        <v>545</v>
      </c>
      <c r="D64" s="5">
        <v>0.78690972222222222</v>
      </c>
      <c r="E64" s="3" t="s">
        <v>546</v>
      </c>
      <c r="F64" s="3" t="s">
        <v>546</v>
      </c>
      <c r="G64" s="3" t="s">
        <v>79</v>
      </c>
      <c r="H64" s="3" t="s">
        <v>547</v>
      </c>
      <c r="I64" s="3" t="s">
        <v>178</v>
      </c>
      <c r="J64" s="3" t="s">
        <v>60</v>
      </c>
      <c r="K64" s="3">
        <v>2</v>
      </c>
      <c r="L64" s="3">
        <v>0</v>
      </c>
      <c r="M64" s="3">
        <v>0</v>
      </c>
      <c r="N64" s="3">
        <v>350</v>
      </c>
      <c r="O64" s="3" t="s">
        <v>548</v>
      </c>
      <c r="P64" s="3">
        <v>0</v>
      </c>
      <c r="Q64" s="3" t="s">
        <v>62</v>
      </c>
      <c r="R64" s="3" t="s">
        <v>549</v>
      </c>
      <c r="S64" s="3">
        <v>0</v>
      </c>
      <c r="T64" s="3">
        <v>0</v>
      </c>
      <c r="U64" s="3" t="s">
        <v>84</v>
      </c>
      <c r="V64" s="3" t="s">
        <v>545</v>
      </c>
      <c r="W64" s="3" t="s">
        <v>550</v>
      </c>
      <c r="X64" s="3" t="s">
        <v>551</v>
      </c>
      <c r="Y64" s="3" t="s">
        <v>552</v>
      </c>
    </row>
    <row r="65" spans="2:25">
      <c r="B65" s="4">
        <v>46241</v>
      </c>
      <c r="C65" s="3" t="s">
        <v>553</v>
      </c>
      <c r="D65" s="5">
        <v>0.79939814814814814</v>
      </c>
      <c r="E65" s="3" t="s">
        <v>554</v>
      </c>
      <c r="F65" s="3" t="s">
        <v>554</v>
      </c>
      <c r="G65" s="3" t="s">
        <v>89</v>
      </c>
      <c r="H65" s="3" t="s">
        <v>555</v>
      </c>
      <c r="I65" s="3" t="s">
        <v>556</v>
      </c>
      <c r="J65" s="3" t="s">
        <v>60</v>
      </c>
      <c r="K65" s="3">
        <v>2</v>
      </c>
      <c r="L65" s="3">
        <v>0</v>
      </c>
      <c r="M65" s="3">
        <v>0</v>
      </c>
      <c r="N65" s="3">
        <v>250</v>
      </c>
      <c r="O65" s="3" t="s">
        <v>557</v>
      </c>
      <c r="P65" s="3">
        <v>0</v>
      </c>
      <c r="Q65" s="3" t="s">
        <v>62</v>
      </c>
      <c r="R65" s="3" t="s">
        <v>558</v>
      </c>
      <c r="S65" s="3">
        <v>0</v>
      </c>
      <c r="T65" s="3">
        <v>0</v>
      </c>
      <c r="U65" s="3" t="s">
        <v>84</v>
      </c>
      <c r="V65" s="3" t="s">
        <v>553</v>
      </c>
      <c r="W65" s="3" t="s">
        <v>559</v>
      </c>
      <c r="X65" s="3" t="s">
        <v>551</v>
      </c>
      <c r="Y65" s="3" t="s">
        <v>560</v>
      </c>
    </row>
    <row r="66" spans="2:25" hidden="1">
      <c r="B66" s="4">
        <v>46241</v>
      </c>
      <c r="C66" s="3" t="s">
        <v>561</v>
      </c>
      <c r="D66" s="5">
        <v>0.80053240740740739</v>
      </c>
      <c r="E66" s="3" t="s">
        <v>387</v>
      </c>
      <c r="F66" s="3" t="s">
        <v>387</v>
      </c>
      <c r="G66" s="3" t="s">
        <v>235</v>
      </c>
      <c r="H66" s="3" t="s">
        <v>388</v>
      </c>
      <c r="I66" s="3" t="s">
        <v>389</v>
      </c>
      <c r="J66" s="3" t="s">
        <v>60</v>
      </c>
      <c r="K66" s="3">
        <v>1</v>
      </c>
      <c r="L66" s="3">
        <v>0</v>
      </c>
      <c r="M66" s="3">
        <v>0</v>
      </c>
      <c r="N66" s="3">
        <v>300</v>
      </c>
      <c r="O66" s="3" t="s">
        <v>390</v>
      </c>
      <c r="P66" s="3">
        <v>150</v>
      </c>
      <c r="Q66" s="3" t="s">
        <v>62</v>
      </c>
      <c r="R66" s="3" t="s">
        <v>562</v>
      </c>
      <c r="S66" s="3">
        <v>0</v>
      </c>
      <c r="T66" s="3">
        <v>0</v>
      </c>
      <c r="U66" s="3" t="s">
        <v>84</v>
      </c>
      <c r="V66" s="3" t="s">
        <v>563</v>
      </c>
      <c r="W66" s="3" t="s">
        <v>393</v>
      </c>
      <c r="X66" s="3" t="s">
        <v>564</v>
      </c>
      <c r="Y66" s="3" t="s">
        <v>565</v>
      </c>
    </row>
    <row r="67" spans="2:25">
      <c r="B67" s="4">
        <v>46241</v>
      </c>
      <c r="C67" s="3" t="s">
        <v>566</v>
      </c>
      <c r="D67" s="5">
        <v>0.80178240740740736</v>
      </c>
      <c r="E67" s="3" t="s">
        <v>567</v>
      </c>
      <c r="F67" s="3" t="s">
        <v>567</v>
      </c>
      <c r="G67" s="3" t="s">
        <v>79</v>
      </c>
      <c r="H67" s="3" t="s">
        <v>568</v>
      </c>
      <c r="I67" s="3" t="s">
        <v>569</v>
      </c>
      <c r="J67" s="3" t="s">
        <v>60</v>
      </c>
      <c r="K67" s="3">
        <v>2</v>
      </c>
      <c r="L67" s="3">
        <v>0</v>
      </c>
      <c r="M67" s="3">
        <v>0</v>
      </c>
      <c r="N67" s="3">
        <v>350</v>
      </c>
      <c r="O67" s="3" t="s">
        <v>570</v>
      </c>
      <c r="P67" s="3">
        <v>0</v>
      </c>
      <c r="Q67" s="3" t="s">
        <v>62</v>
      </c>
      <c r="R67" s="3" t="s">
        <v>571</v>
      </c>
      <c r="S67" s="3">
        <v>0</v>
      </c>
      <c r="T67" s="3">
        <v>0</v>
      </c>
      <c r="U67" s="3" t="s">
        <v>84</v>
      </c>
      <c r="V67" s="3" t="s">
        <v>566</v>
      </c>
      <c r="W67" s="3" t="s">
        <v>572</v>
      </c>
      <c r="X67" s="3" t="s">
        <v>573</v>
      </c>
      <c r="Y67" s="3" t="s">
        <v>552</v>
      </c>
    </row>
    <row r="68" spans="2:25">
      <c r="B68" s="4">
        <v>46241</v>
      </c>
      <c r="C68" s="3" t="s">
        <v>574</v>
      </c>
      <c r="D68" s="5">
        <v>0.80592592592592593</v>
      </c>
      <c r="E68" s="3" t="s">
        <v>575</v>
      </c>
      <c r="F68" s="3" t="s">
        <v>575</v>
      </c>
      <c r="G68" s="3" t="s">
        <v>79</v>
      </c>
      <c r="H68" s="3" t="s">
        <v>576</v>
      </c>
      <c r="I68" s="3" t="s">
        <v>577</v>
      </c>
      <c r="J68" s="3" t="s">
        <v>60</v>
      </c>
      <c r="K68" s="3">
        <v>3</v>
      </c>
      <c r="L68" s="3">
        <v>0</v>
      </c>
      <c r="M68" s="3">
        <v>0</v>
      </c>
      <c r="N68" s="3">
        <v>350</v>
      </c>
      <c r="O68" s="3" t="s">
        <v>578</v>
      </c>
      <c r="P68" s="3">
        <v>0</v>
      </c>
      <c r="Q68" s="3" t="s">
        <v>62</v>
      </c>
      <c r="R68" s="3" t="s">
        <v>579</v>
      </c>
      <c r="S68" s="3">
        <v>0</v>
      </c>
      <c r="T68" s="3">
        <v>0</v>
      </c>
      <c r="U68" s="3" t="s">
        <v>84</v>
      </c>
      <c r="V68" s="3" t="s">
        <v>574</v>
      </c>
      <c r="W68" s="3" t="s">
        <v>580</v>
      </c>
      <c r="X68" s="3" t="s">
        <v>581</v>
      </c>
      <c r="Y68" s="3" t="s">
        <v>582</v>
      </c>
    </row>
    <row r="69" spans="2:25">
      <c r="B69" s="4">
        <v>46241</v>
      </c>
      <c r="C69" s="3" t="s">
        <v>583</v>
      </c>
      <c r="D69" s="5">
        <v>0.80753472222222222</v>
      </c>
      <c r="E69" s="3" t="s">
        <v>584</v>
      </c>
      <c r="F69" s="3" t="s">
        <v>584</v>
      </c>
      <c r="G69" s="3" t="s">
        <v>79</v>
      </c>
      <c r="H69" s="3" t="s">
        <v>585</v>
      </c>
      <c r="I69" s="3" t="s">
        <v>586</v>
      </c>
      <c r="J69" s="3" t="s">
        <v>60</v>
      </c>
      <c r="K69" s="3">
        <v>2</v>
      </c>
      <c r="L69" s="3">
        <v>0</v>
      </c>
      <c r="M69" s="3">
        <v>0</v>
      </c>
      <c r="N69" s="3">
        <v>350</v>
      </c>
      <c r="O69" s="3" t="s">
        <v>587</v>
      </c>
      <c r="P69" s="3">
        <v>0</v>
      </c>
      <c r="Q69" s="3" t="s">
        <v>62</v>
      </c>
      <c r="R69" s="3" t="s">
        <v>588</v>
      </c>
      <c r="S69" s="3">
        <v>0</v>
      </c>
      <c r="T69" s="3">
        <v>0</v>
      </c>
      <c r="U69" s="3" t="s">
        <v>84</v>
      </c>
      <c r="V69" s="3" t="s">
        <v>583</v>
      </c>
      <c r="W69" s="3" t="s">
        <v>589</v>
      </c>
      <c r="X69" s="3" t="s">
        <v>590</v>
      </c>
      <c r="Y69" s="3" t="s">
        <v>552</v>
      </c>
    </row>
    <row r="70" spans="2:25">
      <c r="B70" s="4">
        <v>46241</v>
      </c>
      <c r="C70" s="3" t="s">
        <v>591</v>
      </c>
      <c r="D70" s="5">
        <v>0.81699074074074074</v>
      </c>
      <c r="E70" s="3" t="s">
        <v>592</v>
      </c>
      <c r="F70" s="3" t="s">
        <v>592</v>
      </c>
      <c r="G70" s="3" t="s">
        <v>79</v>
      </c>
      <c r="H70" s="3" t="s">
        <v>593</v>
      </c>
      <c r="I70" s="3" t="s">
        <v>152</v>
      </c>
      <c r="J70" s="3" t="s">
        <v>60</v>
      </c>
      <c r="K70" s="3">
        <v>2</v>
      </c>
      <c r="L70" s="3">
        <v>0</v>
      </c>
      <c r="M70" s="3">
        <v>1</v>
      </c>
      <c r="N70" s="3">
        <v>350</v>
      </c>
      <c r="O70" s="3" t="s">
        <v>594</v>
      </c>
      <c r="P70" s="3">
        <v>0</v>
      </c>
      <c r="Q70" s="3" t="s">
        <v>62</v>
      </c>
      <c r="R70" s="3" t="s">
        <v>595</v>
      </c>
      <c r="S70" s="3">
        <v>0</v>
      </c>
      <c r="T70" s="3">
        <v>0</v>
      </c>
      <c r="U70" s="3" t="s">
        <v>84</v>
      </c>
      <c r="V70" s="3" t="s">
        <v>591</v>
      </c>
      <c r="W70" s="3" t="s">
        <v>596</v>
      </c>
      <c r="X70" s="3" t="s">
        <v>597</v>
      </c>
      <c r="Y70" s="3" t="s">
        <v>68</v>
      </c>
    </row>
    <row r="71" spans="2:25" hidden="1">
      <c r="B71" s="4">
        <v>46241</v>
      </c>
      <c r="C71" s="3" t="s">
        <v>598</v>
      </c>
      <c r="D71" s="5">
        <v>0.841400462962963</v>
      </c>
      <c r="E71" s="3" t="s">
        <v>599</v>
      </c>
      <c r="F71" s="3" t="s">
        <v>599</v>
      </c>
      <c r="G71" s="3" t="s">
        <v>18</v>
      </c>
      <c r="H71" s="3" t="s">
        <v>7</v>
      </c>
      <c r="I71" s="3" t="s">
        <v>210</v>
      </c>
      <c r="J71" s="3" t="s">
        <v>60</v>
      </c>
      <c r="K71" s="3">
        <v>5</v>
      </c>
      <c r="L71" s="3">
        <v>0</v>
      </c>
      <c r="M71" s="3">
        <v>1</v>
      </c>
      <c r="N71" s="3">
        <v>200</v>
      </c>
      <c r="O71" s="3" t="s">
        <v>600</v>
      </c>
      <c r="P71" s="3">
        <v>0</v>
      </c>
      <c r="Q71" s="3" t="s">
        <v>62</v>
      </c>
      <c r="R71" s="3" t="s">
        <v>601</v>
      </c>
      <c r="S71" s="3">
        <v>0</v>
      </c>
      <c r="T71" s="3">
        <v>0</v>
      </c>
      <c r="U71" s="3" t="s">
        <v>84</v>
      </c>
      <c r="V71" s="3" t="s">
        <v>598</v>
      </c>
      <c r="W71" s="3" t="s">
        <v>602</v>
      </c>
      <c r="X71" s="3" t="s">
        <v>603</v>
      </c>
      <c r="Y71" s="3" t="s">
        <v>165</v>
      </c>
    </row>
    <row r="72" spans="2:25" hidden="1">
      <c r="B72" s="11" t="s">
        <v>604</v>
      </c>
      <c r="K72" s="3">
        <v>188</v>
      </c>
      <c r="L72" s="3">
        <v>0</v>
      </c>
      <c r="M72" s="3">
        <v>21</v>
      </c>
      <c r="N72" s="12">
        <v>17350</v>
      </c>
      <c r="P72" s="12">
        <v>72573</v>
      </c>
      <c r="S72" s="12">
        <v>5332</v>
      </c>
      <c r="T72" s="12">
        <v>0</v>
      </c>
    </row>
  </sheetData>
  <autoFilter ref="B4:Y72" xr:uid="{00000000-0009-0000-0000-000001000000}">
    <filterColumn colId="5">
      <filters>
        <filter val="TAXI VERDE"/>
        <filter val="VAN VERDE"/>
      </filters>
    </filterColumn>
  </autoFilter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8"/>
  <sheetViews>
    <sheetView workbookViewId="0"/>
  </sheetViews>
  <sheetFormatPr baseColWidth="10" defaultColWidth="9.140625" defaultRowHeight="15"/>
  <cols>
    <col min="2" max="2" width="32" customWidth="1"/>
    <col min="3" max="7" width="14" customWidth="1"/>
  </cols>
  <sheetData>
    <row r="1" spans="2:7">
      <c r="B1" s="2" t="s">
        <v>605</v>
      </c>
    </row>
    <row r="3" spans="2:7">
      <c r="B3" s="1" t="s">
        <v>606</v>
      </c>
      <c r="C3" s="1" t="s">
        <v>8</v>
      </c>
      <c r="D3" s="1" t="s">
        <v>1</v>
      </c>
      <c r="E3" s="1" t="s">
        <v>3</v>
      </c>
      <c r="F3" s="1" t="s">
        <v>2</v>
      </c>
      <c r="G3" s="1" t="s">
        <v>607</v>
      </c>
    </row>
    <row r="4" spans="2:7">
      <c r="B4" s="3" t="s">
        <v>351</v>
      </c>
      <c r="C4" s="13">
        <v>2</v>
      </c>
      <c r="D4" s="9">
        <v>200</v>
      </c>
      <c r="E4" s="9">
        <v>11890</v>
      </c>
      <c r="F4" s="9">
        <v>935</v>
      </c>
      <c r="G4" s="9">
        <v>0</v>
      </c>
    </row>
    <row r="5" spans="2:7">
      <c r="B5" s="3" t="s">
        <v>210</v>
      </c>
      <c r="C5" s="13">
        <v>14</v>
      </c>
      <c r="D5" s="9">
        <v>850</v>
      </c>
      <c r="E5" s="9">
        <v>10425</v>
      </c>
      <c r="F5" s="9">
        <v>854</v>
      </c>
      <c r="G5" s="9">
        <v>0</v>
      </c>
    </row>
    <row r="6" spans="2:7">
      <c r="B6" s="3" t="s">
        <v>59</v>
      </c>
      <c r="C6" s="13">
        <v>4</v>
      </c>
      <c r="D6" s="9">
        <v>250</v>
      </c>
      <c r="E6" s="9">
        <v>8435</v>
      </c>
      <c r="F6" s="9">
        <v>573</v>
      </c>
      <c r="G6" s="9">
        <v>0</v>
      </c>
    </row>
    <row r="7" spans="2:7">
      <c r="B7" s="3" t="s">
        <v>406</v>
      </c>
      <c r="C7" s="13">
        <v>6</v>
      </c>
      <c r="D7" s="9">
        <v>350</v>
      </c>
      <c r="E7" s="9">
        <v>8160</v>
      </c>
      <c r="F7" s="9">
        <v>679</v>
      </c>
      <c r="G7" s="9">
        <v>0</v>
      </c>
    </row>
    <row r="8" spans="2:7">
      <c r="B8" s="3" t="s">
        <v>143</v>
      </c>
      <c r="C8" s="13">
        <v>8</v>
      </c>
      <c r="D8" s="9">
        <v>600</v>
      </c>
      <c r="E8" s="9">
        <v>5640</v>
      </c>
      <c r="F8" s="9">
        <v>421</v>
      </c>
      <c r="G8" s="9">
        <v>0</v>
      </c>
    </row>
    <row r="9" spans="2:7">
      <c r="B9" s="3" t="s">
        <v>262</v>
      </c>
      <c r="C9" s="13">
        <v>7</v>
      </c>
      <c r="D9" s="9">
        <v>600</v>
      </c>
      <c r="E9" s="9">
        <v>4030</v>
      </c>
      <c r="F9" s="9">
        <v>293</v>
      </c>
      <c r="G9" s="9">
        <v>0</v>
      </c>
    </row>
    <row r="10" spans="2:7">
      <c r="B10" s="3" t="s">
        <v>489</v>
      </c>
      <c r="C10" s="13">
        <v>2</v>
      </c>
      <c r="D10" s="9">
        <v>200</v>
      </c>
      <c r="E10" s="9">
        <v>3590</v>
      </c>
      <c r="F10" s="9">
        <v>270</v>
      </c>
      <c r="G10" s="9">
        <v>0</v>
      </c>
    </row>
    <row r="11" spans="2:7">
      <c r="B11" s="3" t="s">
        <v>245</v>
      </c>
      <c r="C11" s="13">
        <v>2</v>
      </c>
      <c r="D11" s="9">
        <v>350</v>
      </c>
      <c r="E11" s="9">
        <v>2714</v>
      </c>
      <c r="F11" s="9">
        <v>184</v>
      </c>
      <c r="G11" s="9">
        <v>0</v>
      </c>
    </row>
    <row r="12" spans="2:7">
      <c r="B12" s="3" t="s">
        <v>480</v>
      </c>
      <c r="C12" s="13">
        <v>5</v>
      </c>
      <c r="D12" s="9">
        <v>200</v>
      </c>
      <c r="E12" s="9">
        <v>2625</v>
      </c>
      <c r="F12" s="9">
        <v>236</v>
      </c>
      <c r="G12" s="9">
        <v>0</v>
      </c>
    </row>
    <row r="13" spans="2:7">
      <c r="B13" s="3" t="s">
        <v>126</v>
      </c>
      <c r="C13" s="13">
        <v>4</v>
      </c>
      <c r="D13" s="9">
        <v>250</v>
      </c>
      <c r="E13" s="9">
        <v>2590</v>
      </c>
      <c r="F13" s="9">
        <v>186</v>
      </c>
      <c r="G13" s="9">
        <v>0</v>
      </c>
    </row>
    <row r="14" spans="2:7">
      <c r="B14" s="3" t="s">
        <v>415</v>
      </c>
      <c r="C14" s="13">
        <v>10</v>
      </c>
      <c r="D14" s="9">
        <v>400</v>
      </c>
      <c r="E14" s="9">
        <v>1895</v>
      </c>
      <c r="F14" s="9">
        <v>133</v>
      </c>
      <c r="G14" s="9">
        <v>0</v>
      </c>
    </row>
    <row r="15" spans="2:7">
      <c r="B15" s="3" t="s">
        <v>98</v>
      </c>
      <c r="C15" s="13">
        <v>7</v>
      </c>
      <c r="D15" s="9">
        <v>350</v>
      </c>
      <c r="E15" s="9">
        <v>1800</v>
      </c>
      <c r="F15" s="9">
        <v>110</v>
      </c>
      <c r="G15" s="9">
        <v>0</v>
      </c>
    </row>
    <row r="16" spans="2:7">
      <c r="B16" s="3" t="s">
        <v>342</v>
      </c>
      <c r="C16" s="13">
        <v>3</v>
      </c>
      <c r="D16" s="9">
        <v>250</v>
      </c>
      <c r="E16" s="9">
        <v>1755</v>
      </c>
      <c r="F16" s="9">
        <v>68</v>
      </c>
      <c r="G16" s="9">
        <v>0</v>
      </c>
    </row>
    <row r="17" spans="2:7">
      <c r="B17" s="3" t="s">
        <v>389</v>
      </c>
      <c r="C17" s="13">
        <v>3</v>
      </c>
      <c r="D17" s="9">
        <v>600</v>
      </c>
      <c r="E17" s="9">
        <v>1724</v>
      </c>
      <c r="F17" s="9">
        <v>96</v>
      </c>
      <c r="G17" s="9">
        <v>0</v>
      </c>
    </row>
    <row r="18" spans="2:7">
      <c r="B18" s="3" t="s">
        <v>326</v>
      </c>
      <c r="C18" s="13">
        <v>5</v>
      </c>
      <c r="D18" s="9">
        <v>200</v>
      </c>
      <c r="E18" s="9">
        <v>1415</v>
      </c>
      <c r="F18" s="9">
        <v>94</v>
      </c>
      <c r="G18" s="9">
        <v>0</v>
      </c>
    </row>
    <row r="19" spans="2:7">
      <c r="B19" s="3" t="s">
        <v>226</v>
      </c>
      <c r="C19" s="13">
        <v>6</v>
      </c>
      <c r="D19" s="9">
        <v>350</v>
      </c>
      <c r="E19" s="9">
        <v>1095</v>
      </c>
      <c r="F19" s="9">
        <v>62</v>
      </c>
      <c r="G19" s="9">
        <v>0</v>
      </c>
    </row>
    <row r="20" spans="2:7">
      <c r="B20" s="3" t="s">
        <v>72</v>
      </c>
      <c r="C20" s="13">
        <v>1</v>
      </c>
      <c r="D20" s="9">
        <v>0</v>
      </c>
      <c r="E20" s="9">
        <v>875</v>
      </c>
      <c r="F20" s="9">
        <v>70</v>
      </c>
      <c r="G20" s="9">
        <v>0</v>
      </c>
    </row>
    <row r="21" spans="2:7">
      <c r="B21" s="3" t="s">
        <v>432</v>
      </c>
      <c r="C21" s="13">
        <v>4</v>
      </c>
      <c r="D21" s="9">
        <v>350</v>
      </c>
      <c r="E21" s="9">
        <v>825</v>
      </c>
      <c r="F21" s="9">
        <v>31</v>
      </c>
      <c r="G21" s="9">
        <v>0</v>
      </c>
    </row>
    <row r="22" spans="2:7">
      <c r="B22" s="3" t="s">
        <v>423</v>
      </c>
      <c r="C22" s="13">
        <v>2</v>
      </c>
      <c r="D22" s="9">
        <v>250</v>
      </c>
      <c r="E22" s="9">
        <v>590</v>
      </c>
      <c r="F22" s="9">
        <v>22</v>
      </c>
      <c r="G22" s="9">
        <v>0</v>
      </c>
    </row>
    <row r="23" spans="2:7">
      <c r="B23" s="3" t="s">
        <v>496</v>
      </c>
      <c r="C23" s="13">
        <v>1</v>
      </c>
      <c r="D23" s="9">
        <v>250</v>
      </c>
      <c r="E23" s="9">
        <v>500</v>
      </c>
      <c r="F23" s="9">
        <v>15</v>
      </c>
      <c r="G23" s="9">
        <v>0</v>
      </c>
    </row>
    <row r="24" spans="2:7">
      <c r="B24" s="3" t="s">
        <v>152</v>
      </c>
      <c r="C24" s="13">
        <v>5</v>
      </c>
      <c r="D24" s="9">
        <v>450</v>
      </c>
      <c r="E24" s="9">
        <v>0</v>
      </c>
      <c r="F24" s="9">
        <v>0</v>
      </c>
      <c r="G24" s="9">
        <v>0</v>
      </c>
    </row>
    <row r="25" spans="2:7">
      <c r="B25" s="3" t="s">
        <v>586</v>
      </c>
      <c r="C25" s="13">
        <v>2</v>
      </c>
      <c r="D25" s="9">
        <v>350</v>
      </c>
      <c r="E25" s="9">
        <v>0</v>
      </c>
      <c r="F25" s="9">
        <v>0</v>
      </c>
      <c r="G25" s="9">
        <v>0</v>
      </c>
    </row>
    <row r="26" spans="2:7">
      <c r="B26" s="3" t="s">
        <v>577</v>
      </c>
      <c r="C26" s="13">
        <v>3</v>
      </c>
      <c r="D26" s="9">
        <v>350</v>
      </c>
      <c r="E26" s="9">
        <v>0</v>
      </c>
      <c r="F26" s="9">
        <v>0</v>
      </c>
      <c r="G26" s="9">
        <v>0</v>
      </c>
    </row>
    <row r="27" spans="2:7">
      <c r="B27" s="3" t="s">
        <v>569</v>
      </c>
      <c r="C27" s="13">
        <v>2</v>
      </c>
      <c r="D27" s="9">
        <v>350</v>
      </c>
      <c r="E27" s="9">
        <v>0</v>
      </c>
      <c r="F27" s="9">
        <v>0</v>
      </c>
      <c r="G27" s="9">
        <v>0</v>
      </c>
    </row>
    <row r="28" spans="2:7">
      <c r="B28" s="3" t="s">
        <v>556</v>
      </c>
      <c r="C28" s="13">
        <v>2</v>
      </c>
      <c r="D28" s="9">
        <v>250</v>
      </c>
      <c r="E28" s="9">
        <v>0</v>
      </c>
      <c r="F28" s="9">
        <v>0</v>
      </c>
      <c r="G28" s="9">
        <v>0</v>
      </c>
    </row>
    <row r="29" spans="2:7">
      <c r="B29" s="3" t="s">
        <v>178</v>
      </c>
      <c r="C29" s="13">
        <v>4</v>
      </c>
      <c r="D29" s="9">
        <v>600</v>
      </c>
      <c r="E29" s="9">
        <v>0</v>
      </c>
      <c r="F29" s="9">
        <v>0</v>
      </c>
      <c r="G29" s="9">
        <v>0</v>
      </c>
    </row>
    <row r="30" spans="2:7">
      <c r="B30" s="3" t="s">
        <v>530</v>
      </c>
      <c r="C30" s="13">
        <v>4</v>
      </c>
      <c r="D30" s="9">
        <v>200</v>
      </c>
      <c r="E30" s="9">
        <v>0</v>
      </c>
      <c r="F30" s="9">
        <v>0</v>
      </c>
      <c r="G30" s="9">
        <v>0</v>
      </c>
    </row>
    <row r="31" spans="2:7">
      <c r="B31" s="3" t="s">
        <v>522</v>
      </c>
      <c r="C31" s="13">
        <v>3</v>
      </c>
      <c r="D31" s="9">
        <v>200</v>
      </c>
      <c r="E31" s="9">
        <v>0</v>
      </c>
      <c r="F31" s="9">
        <v>0</v>
      </c>
      <c r="G31" s="9">
        <v>0</v>
      </c>
    </row>
    <row r="32" spans="2:7">
      <c r="B32" s="3" t="s">
        <v>513</v>
      </c>
      <c r="C32" s="13">
        <v>4</v>
      </c>
      <c r="D32" s="9">
        <v>350</v>
      </c>
      <c r="E32" s="9">
        <v>0</v>
      </c>
      <c r="F32" s="9">
        <v>0</v>
      </c>
      <c r="G32" s="9">
        <v>0</v>
      </c>
    </row>
    <row r="33" spans="2:7">
      <c r="B33" s="3" t="s">
        <v>504</v>
      </c>
      <c r="C33" s="13">
        <v>3</v>
      </c>
      <c r="D33" s="9">
        <v>350</v>
      </c>
      <c r="E33" s="9">
        <v>0</v>
      </c>
      <c r="F33" s="9">
        <v>0</v>
      </c>
      <c r="G33" s="9">
        <v>0</v>
      </c>
    </row>
    <row r="34" spans="2:7">
      <c r="B34" s="3" t="s">
        <v>472</v>
      </c>
      <c r="C34" s="13">
        <v>2</v>
      </c>
      <c r="D34" s="9">
        <v>350</v>
      </c>
      <c r="E34" s="9">
        <v>0</v>
      </c>
      <c r="F34" s="9">
        <v>0</v>
      </c>
      <c r="G34" s="9">
        <v>0</v>
      </c>
    </row>
    <row r="35" spans="2:7">
      <c r="B35" s="3" t="s">
        <v>464</v>
      </c>
      <c r="C35" s="13">
        <v>4</v>
      </c>
      <c r="D35" s="9">
        <v>250</v>
      </c>
      <c r="E35" s="9">
        <v>0</v>
      </c>
      <c r="F35" s="9">
        <v>0</v>
      </c>
      <c r="G35" s="9">
        <v>0</v>
      </c>
    </row>
    <row r="36" spans="2:7">
      <c r="B36" s="3" t="s">
        <v>456</v>
      </c>
      <c r="C36" s="13">
        <v>2</v>
      </c>
      <c r="D36" s="9">
        <v>250</v>
      </c>
      <c r="E36" s="9">
        <v>0</v>
      </c>
      <c r="F36" s="9">
        <v>0</v>
      </c>
      <c r="G36" s="9">
        <v>0</v>
      </c>
    </row>
    <row r="37" spans="2:7">
      <c r="B37" s="3" t="s">
        <v>447</v>
      </c>
      <c r="C37" s="13">
        <v>2</v>
      </c>
      <c r="D37" s="9">
        <v>350</v>
      </c>
      <c r="E37" s="9">
        <v>0</v>
      </c>
      <c r="F37" s="9">
        <v>0</v>
      </c>
      <c r="G37" s="9">
        <v>0</v>
      </c>
    </row>
    <row r="38" spans="2:7">
      <c r="B38" s="3" t="s">
        <v>441</v>
      </c>
      <c r="C38" s="13">
        <v>2</v>
      </c>
      <c r="D38" s="9">
        <v>200</v>
      </c>
      <c r="E38" s="9">
        <v>0</v>
      </c>
      <c r="F38" s="9">
        <v>0</v>
      </c>
      <c r="G38" s="9">
        <v>0</v>
      </c>
    </row>
    <row r="39" spans="2:7">
      <c r="B39" s="3" t="s">
        <v>398</v>
      </c>
      <c r="C39" s="13">
        <v>2</v>
      </c>
      <c r="D39" s="9">
        <v>200</v>
      </c>
      <c r="E39" s="9">
        <v>0</v>
      </c>
      <c r="F39" s="9">
        <v>0</v>
      </c>
      <c r="G39" s="9">
        <v>0</v>
      </c>
    </row>
    <row r="40" spans="2:7">
      <c r="B40" s="3" t="s">
        <v>373</v>
      </c>
      <c r="C40" s="13">
        <v>2</v>
      </c>
      <c r="D40" s="9">
        <v>200</v>
      </c>
      <c r="E40" s="9">
        <v>0</v>
      </c>
      <c r="F40" s="9">
        <v>0</v>
      </c>
      <c r="G40" s="9">
        <v>0</v>
      </c>
    </row>
    <row r="41" spans="2:7">
      <c r="B41" s="3" t="s">
        <v>365</v>
      </c>
      <c r="C41" s="13">
        <v>3</v>
      </c>
      <c r="D41" s="9">
        <v>250</v>
      </c>
      <c r="E41" s="9">
        <v>0</v>
      </c>
      <c r="F41" s="9">
        <v>0</v>
      </c>
      <c r="G41" s="9">
        <v>0</v>
      </c>
    </row>
    <row r="42" spans="2:7">
      <c r="B42" s="3" t="s">
        <v>359</v>
      </c>
      <c r="C42" s="13">
        <v>3</v>
      </c>
      <c r="D42" s="9">
        <v>350</v>
      </c>
      <c r="E42" s="9">
        <v>0</v>
      </c>
      <c r="F42" s="9">
        <v>0</v>
      </c>
      <c r="G42" s="9">
        <v>0</v>
      </c>
    </row>
    <row r="43" spans="2:7">
      <c r="B43" s="3" t="s">
        <v>334</v>
      </c>
      <c r="C43" s="13">
        <v>2</v>
      </c>
      <c r="D43" s="9">
        <v>250</v>
      </c>
      <c r="E43" s="9">
        <v>0</v>
      </c>
      <c r="F43" s="9">
        <v>0</v>
      </c>
      <c r="G43" s="9">
        <v>0</v>
      </c>
    </row>
    <row r="44" spans="2:7">
      <c r="B44" s="3" t="s">
        <v>169</v>
      </c>
      <c r="C44" s="13">
        <v>9</v>
      </c>
      <c r="D44" s="9">
        <v>400</v>
      </c>
      <c r="E44" s="9">
        <v>0</v>
      </c>
      <c r="F44" s="9">
        <v>0</v>
      </c>
      <c r="G44" s="9">
        <v>0</v>
      </c>
    </row>
    <row r="45" spans="2:7">
      <c r="B45" s="3" t="s">
        <v>304</v>
      </c>
      <c r="C45" s="13">
        <v>4</v>
      </c>
      <c r="D45" s="9">
        <v>250</v>
      </c>
      <c r="E45" s="9">
        <v>0</v>
      </c>
      <c r="F45" s="9">
        <v>0</v>
      </c>
      <c r="G45" s="9">
        <v>0</v>
      </c>
    </row>
    <row r="46" spans="2:7">
      <c r="B46" s="3" t="s">
        <v>298</v>
      </c>
      <c r="C46" s="13">
        <v>5</v>
      </c>
      <c r="D46" s="9">
        <v>100</v>
      </c>
      <c r="E46" s="9">
        <v>0</v>
      </c>
      <c r="F46" s="9">
        <v>0</v>
      </c>
      <c r="G46" s="9">
        <v>0</v>
      </c>
    </row>
    <row r="47" spans="2:7">
      <c r="B47" s="3" t="s">
        <v>292</v>
      </c>
      <c r="C47" s="13">
        <v>3</v>
      </c>
      <c r="D47" s="9">
        <v>350</v>
      </c>
      <c r="E47" s="9">
        <v>0</v>
      </c>
      <c r="F47" s="9">
        <v>0</v>
      </c>
      <c r="G47" s="9">
        <v>0</v>
      </c>
    </row>
    <row r="48" spans="2:7">
      <c r="B48" s="3" t="s">
        <v>218</v>
      </c>
      <c r="C48" s="13">
        <v>9</v>
      </c>
      <c r="D48" s="9">
        <v>400</v>
      </c>
      <c r="E48" s="9">
        <v>0</v>
      </c>
      <c r="F48" s="9">
        <v>0</v>
      </c>
      <c r="G48" s="9">
        <v>0</v>
      </c>
    </row>
    <row r="49" spans="2:7">
      <c r="B49" s="3" t="s">
        <v>272</v>
      </c>
      <c r="C49" s="13">
        <v>4</v>
      </c>
      <c r="D49" s="9">
        <v>350</v>
      </c>
      <c r="E49" s="9">
        <v>0</v>
      </c>
      <c r="F49" s="9">
        <v>0</v>
      </c>
      <c r="G49" s="9">
        <v>0</v>
      </c>
    </row>
    <row r="50" spans="2:7">
      <c r="B50" s="3" t="s">
        <v>254</v>
      </c>
      <c r="C50" s="13">
        <v>4</v>
      </c>
      <c r="D50" s="9">
        <v>350</v>
      </c>
      <c r="E50" s="9">
        <v>0</v>
      </c>
      <c r="F50" s="9">
        <v>0</v>
      </c>
      <c r="G50" s="9">
        <v>0</v>
      </c>
    </row>
    <row r="51" spans="2:7">
      <c r="B51" s="3" t="s">
        <v>237</v>
      </c>
      <c r="C51" s="13">
        <v>3</v>
      </c>
      <c r="D51" s="9">
        <v>300</v>
      </c>
      <c r="E51" s="9">
        <v>0</v>
      </c>
      <c r="F51" s="9">
        <v>0</v>
      </c>
      <c r="G51" s="9">
        <v>0</v>
      </c>
    </row>
    <row r="52" spans="2:7">
      <c r="B52" s="3" t="s">
        <v>202</v>
      </c>
      <c r="C52" s="13">
        <v>2</v>
      </c>
      <c r="D52" s="9">
        <v>350</v>
      </c>
      <c r="E52" s="9">
        <v>0</v>
      </c>
      <c r="F52" s="9">
        <v>0</v>
      </c>
      <c r="G52" s="9">
        <v>0</v>
      </c>
    </row>
    <row r="53" spans="2:7">
      <c r="B53" s="3" t="s">
        <v>194</v>
      </c>
      <c r="C53" s="13">
        <v>2</v>
      </c>
      <c r="D53" s="9">
        <v>350</v>
      </c>
      <c r="E53" s="9">
        <v>0</v>
      </c>
      <c r="F53" s="9">
        <v>0</v>
      </c>
      <c r="G53" s="9">
        <v>0</v>
      </c>
    </row>
    <row r="54" spans="2:7">
      <c r="B54" s="3" t="s">
        <v>186</v>
      </c>
      <c r="C54" s="13">
        <v>3</v>
      </c>
      <c r="D54" s="9">
        <v>350</v>
      </c>
      <c r="E54" s="9">
        <v>0</v>
      </c>
      <c r="F54" s="9">
        <v>0</v>
      </c>
      <c r="G54" s="9">
        <v>0</v>
      </c>
    </row>
    <row r="55" spans="2:7">
      <c r="B55" s="3" t="s">
        <v>135</v>
      </c>
      <c r="C55" s="13">
        <v>3</v>
      </c>
      <c r="D55" s="9">
        <v>250</v>
      </c>
      <c r="E55" s="9">
        <v>0</v>
      </c>
      <c r="F55" s="9">
        <v>0</v>
      </c>
      <c r="G55" s="9">
        <v>0</v>
      </c>
    </row>
    <row r="56" spans="2:7">
      <c r="B56" s="3" t="s">
        <v>24</v>
      </c>
      <c r="C56" s="13">
        <v>2</v>
      </c>
      <c r="D56" s="9">
        <v>50</v>
      </c>
      <c r="E56" s="9">
        <v>0</v>
      </c>
      <c r="F56" s="9">
        <v>0</v>
      </c>
      <c r="G56" s="9">
        <v>0</v>
      </c>
    </row>
    <row r="57" spans="2:7">
      <c r="B57" s="3" t="s">
        <v>108</v>
      </c>
      <c r="C57" s="13">
        <v>2</v>
      </c>
      <c r="D57" s="9">
        <v>200</v>
      </c>
      <c r="E57" s="9">
        <v>0</v>
      </c>
      <c r="F57" s="9">
        <v>0</v>
      </c>
      <c r="G57" s="9">
        <v>0</v>
      </c>
    </row>
    <row r="58" spans="2:7">
      <c r="B58" s="3" t="s">
        <v>81</v>
      </c>
      <c r="C58" s="13">
        <v>2</v>
      </c>
      <c r="D58" s="9">
        <v>350</v>
      </c>
      <c r="E58" s="9">
        <v>0</v>
      </c>
      <c r="F58" s="9">
        <v>0</v>
      </c>
      <c r="G58" s="9">
        <v>0</v>
      </c>
    </row>
  </sheetData>
  <autoFilter ref="B3:G58" xr:uid="{00000000-0009-0000-0000-000002000000}"/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3"/>
  <sheetViews>
    <sheetView workbookViewId="0"/>
  </sheetViews>
  <sheetFormatPr baseColWidth="10" defaultColWidth="9.140625" defaultRowHeight="15"/>
  <cols>
    <col min="2" max="4" width="18" customWidth="1"/>
    <col min="5" max="8" width="14" customWidth="1"/>
    <col min="9" max="9" width="16" customWidth="1"/>
  </cols>
  <sheetData>
    <row r="1" spans="2:9">
      <c r="B1" s="2" t="s">
        <v>608</v>
      </c>
    </row>
    <row r="3" spans="2:9">
      <c r="B3" s="1" t="s">
        <v>35</v>
      </c>
      <c r="C3" s="1" t="s">
        <v>34</v>
      </c>
      <c r="D3" s="1" t="s">
        <v>609</v>
      </c>
      <c r="E3" s="1" t="s">
        <v>3</v>
      </c>
      <c r="F3" s="1" t="s">
        <v>2</v>
      </c>
      <c r="G3" s="1" t="s">
        <v>610</v>
      </c>
      <c r="H3" s="1" t="s">
        <v>611</v>
      </c>
      <c r="I3" s="1" t="s">
        <v>612</v>
      </c>
    </row>
  </sheetData>
  <autoFilter ref="B3:I3" xr:uid="{00000000-0009-0000-0000-000003000000}"/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"/>
  <sheetViews>
    <sheetView workbookViewId="0"/>
  </sheetViews>
  <sheetFormatPr baseColWidth="10" defaultColWidth="9.140625" defaultRowHeight="15"/>
  <cols>
    <col min="2" max="9" width="14" customWidth="1"/>
    <col min="10" max="10" width="18" customWidth="1"/>
  </cols>
  <sheetData>
    <row r="1" spans="2:10">
      <c r="B1" s="2" t="s">
        <v>613</v>
      </c>
    </row>
    <row r="3" spans="2:10">
      <c r="B3" s="1" t="s">
        <v>34</v>
      </c>
      <c r="C3" s="1" t="s">
        <v>614</v>
      </c>
      <c r="D3" s="1" t="s">
        <v>615</v>
      </c>
      <c r="E3" s="1" t="s">
        <v>616</v>
      </c>
      <c r="F3" s="1" t="s">
        <v>617</v>
      </c>
      <c r="G3" s="1" t="s">
        <v>618</v>
      </c>
      <c r="H3" s="1" t="s">
        <v>619</v>
      </c>
      <c r="I3" s="1" t="s">
        <v>620</v>
      </c>
      <c r="J3" s="1" t="s">
        <v>612</v>
      </c>
    </row>
  </sheetData>
  <autoFilter ref="B3:J3" xr:uid="{00000000-0009-0000-0000-000004000000}"/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CUADRE</vt:lpstr>
      <vt:lpstr>CUADRE dejadas</vt:lpstr>
      <vt:lpstr>REPORTE HOTELES</vt:lpstr>
      <vt:lpstr>comisiones</vt:lpstr>
      <vt:lpstr>CORTE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mkt</cp:lastModifiedBy>
  <dcterms:modified xsi:type="dcterms:W3CDTF">2026-08-08T18:26:30Z</dcterms:modified>
</cp:coreProperties>
</file>