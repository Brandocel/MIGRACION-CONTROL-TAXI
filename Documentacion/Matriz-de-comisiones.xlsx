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Calculadora" sheetId="2" state="visible" r:id="rId2"/>
    <sheet xmlns:r="http://schemas.openxmlformats.org/officeDocument/2006/relationships" name="Alias y amar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-&quot;$&quot;#,##0;&quot;—&quot;"/>
    <numFmt numFmtId="165" formatCode="&quot;$&quot;#,##0.00"/>
    <numFmt numFmtId="166" formatCode="&quot;$&quot;#,##0.00;-&quot;$&quot;#,##0.00;&quot;—&quot;"/>
  </numFmts>
  <fonts count="8">
    <font>
      <name val="Calibri"/>
      <family val="2"/>
      <color theme="1"/>
      <sz val="11"/>
      <scheme val="minor"/>
    </font>
    <font>
      <name val="Arial"/>
      <b val="1"/>
      <color rgb="0014191C"/>
      <sz val="16"/>
    </font>
    <font>
      <name val="Arial"/>
      <color rgb="004A5450"/>
      <sz val="10"/>
    </font>
    <font>
      <name val="Arial"/>
      <b val="1"/>
      <color rgb="00FFFFFF"/>
      <sz val="9"/>
    </font>
    <font>
      <name val="Arial"/>
      <color rgb="0014191C"/>
      <sz val="10"/>
    </font>
    <font>
      <name val="Arial"/>
      <b val="1"/>
      <color rgb="0014191C"/>
      <sz val="10"/>
    </font>
    <font>
      <name val="Arial"/>
      <color rgb="004A5450"/>
      <sz val="9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0E6B66"/>
      </patternFill>
    </fill>
    <fill>
      <patternFill patternType="solid">
        <fgColor rgb="00F7EBDC"/>
      </patternFill>
    </fill>
    <fill>
      <patternFill patternType="solid">
        <fgColor rgb="00FFFF00"/>
      </patternFill>
    </fill>
    <fill>
      <patternFill patternType="solid">
        <fgColor rgb="00E4F0EE"/>
      </patternFill>
    </fill>
  </fills>
  <borders count="2">
    <border>
      <left/>
      <right/>
      <top/>
      <bottom/>
      <diagonal/>
    </border>
    <border>
      <left style="thin">
        <color rgb="00D6DCD8"/>
      </left>
      <right style="thin">
        <color rgb="00D6DCD8"/>
      </right>
      <top style="thin">
        <color rgb="00D6DCD8"/>
      </top>
      <bottom style="thin">
        <color rgb="00D6DCD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9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9" fontId="5" fillId="3" borderId="1" applyAlignment="1" pivotButton="0" quotePrefix="0" xfId="0">
      <alignment horizontal="right"/>
    </xf>
    <xf numFmtId="0" fontId="6" fillId="0" borderId="0" pivotButton="0" quotePrefix="0" xfId="0"/>
    <xf numFmtId="0" fontId="3" fillId="2" borderId="0" pivotButton="0" quotePrefix="0" xfId="0"/>
    <xf numFmtId="0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0" fontId="6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Control Taxi</author>
  </authors>
  <commentList>
    <comment ref="D6" authorId="0" shapeId="0">
      <text>
        <t>Confirmado por operación el 03/09/2026: Majestic retiene 10 % en efectivo. La comisión sigue en 8 %.</t>
      </text>
    </comment>
    <comment ref="B7" authorId="0" shapeId="0">
      <text>
        <t>Unidad distinta de MAJESTIC aunque en el punto de venta compartan renglón. Majestic 8 %, Travel 10 %.</t>
      </text>
    </comment>
    <comment ref="B16" authorId="0" shapeId="0">
      <text>
        <t>Lleva DOS espacios entre UBER y ALIANZA. Así está guardado en el punto de venta y así llega capturado.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22" customWidth="1" min="8" max="8"/>
  </cols>
  <sheetData>
    <row r="1" ht="24" customHeight="1">
      <c r="A1" s="1" t="inlineStr">
        <is>
          <t>Matriz de comisiones por transporte</t>
        </is>
      </c>
    </row>
    <row r="2">
      <c r="A2" s="2" t="inlineStr">
        <is>
          <t>Catálogo fijo del sistema desde el 02/09/2026. Igual en todas las máquinas. Aplica a todo el histórico.</t>
        </is>
      </c>
    </row>
    <row r="4" ht="28" customHeight="1">
      <c r="A4" s="3" t="inlineStr">
        <is>
          <t>Código</t>
        </is>
      </c>
      <c r="B4" s="3" t="inlineStr">
        <is>
          <t>Unidad</t>
        </is>
      </c>
      <c r="C4" s="3" t="inlineStr">
        <is>
          <t>Comisión</t>
        </is>
      </c>
      <c r="D4" s="3" t="inlineStr">
        <is>
          <t>Ret. efectivo</t>
        </is>
      </c>
      <c r="E4" s="3" t="inlineStr">
        <is>
          <t>Ret. tarjeta</t>
        </is>
      </c>
      <c r="F4" s="3" t="inlineStr">
        <is>
          <t>Ret. AMEX</t>
        </is>
      </c>
      <c r="G4" s="3" t="inlineStr">
        <is>
          <t>Dejada</t>
        </is>
      </c>
      <c r="H4" s="3" t="inlineStr">
        <is>
          <t>Vigencia</t>
        </is>
      </c>
    </row>
    <row r="5">
      <c r="A5" s="4" t="inlineStr">
        <is>
          <t>GUIA</t>
        </is>
      </c>
      <c r="B5" s="5" t="inlineStr">
        <is>
          <t>GUIAS</t>
        </is>
      </c>
      <c r="C5" s="6" t="n">
        <v>0.1</v>
      </c>
      <c r="D5" s="6" t="n">
        <v>0</v>
      </c>
      <c r="E5" s="6" t="n">
        <v>0.19</v>
      </c>
      <c r="F5" s="6" t="n">
        <v>0.24</v>
      </c>
      <c r="G5" s="7" t="n">
        <v>50</v>
      </c>
      <c r="H5" s="4" t="inlineStr">
        <is>
          <t>todo el histórico</t>
        </is>
      </c>
    </row>
    <row r="6">
      <c r="A6" s="4" t="inlineStr">
        <is>
          <t>MAJESTIC</t>
        </is>
      </c>
      <c r="B6" s="5" t="inlineStr">
        <is>
          <t>MAJESTIC EXPEDITIONS</t>
        </is>
      </c>
      <c r="C6" s="6" t="n">
        <v>0.08</v>
      </c>
      <c r="D6" s="8" t="n">
        <v>0.1</v>
      </c>
      <c r="E6" s="6" t="n">
        <v>0.19</v>
      </c>
      <c r="F6" s="6" t="n">
        <v>0.24</v>
      </c>
      <c r="G6" s="7" t="n">
        <v>0</v>
      </c>
      <c r="H6" s="4" t="inlineStr">
        <is>
          <t>todo el histórico</t>
        </is>
      </c>
    </row>
    <row r="7">
      <c r="A7" s="4" t="inlineStr">
        <is>
          <t>TRAVEL</t>
        </is>
      </c>
      <c r="B7" s="5" t="inlineStr">
        <is>
          <t>TRAVEL EXPERIENCE</t>
        </is>
      </c>
      <c r="C7" s="6" t="n">
        <v>0.1</v>
      </c>
      <c r="D7" s="6" t="n">
        <v>0</v>
      </c>
      <c r="E7" s="6" t="n">
        <v>0.19</v>
      </c>
      <c r="F7" s="6" t="n">
        <v>0.24</v>
      </c>
      <c r="G7" s="7" t="n">
        <v>0</v>
      </c>
      <c r="H7" s="4" t="inlineStr">
        <is>
          <t>todo el histórico</t>
        </is>
      </c>
    </row>
    <row r="8">
      <c r="A8" s="4" t="inlineStr">
        <is>
          <t>TAXIAZUL</t>
        </is>
      </c>
      <c r="B8" s="5" t="inlineStr">
        <is>
          <t>TAXI AZUL</t>
        </is>
      </c>
      <c r="C8" s="6" t="n">
        <v>0.1</v>
      </c>
      <c r="D8" s="6" t="n">
        <v>0</v>
      </c>
      <c r="E8" s="6" t="n">
        <v>0.19</v>
      </c>
      <c r="F8" s="6" t="n">
        <v>0.24</v>
      </c>
      <c r="G8" s="7" t="n">
        <v>250</v>
      </c>
      <c r="H8" s="4" t="inlineStr">
        <is>
          <t>todo el histórico</t>
        </is>
      </c>
    </row>
    <row r="9">
      <c r="A9" s="4" t="inlineStr">
        <is>
          <t>TAXICAFE</t>
        </is>
      </c>
      <c r="B9" s="5" t="inlineStr">
        <is>
          <t>TAXI CAFE</t>
        </is>
      </c>
      <c r="C9" s="6" t="n">
        <v>0.1</v>
      </c>
      <c r="D9" s="6" t="n">
        <v>0</v>
      </c>
      <c r="E9" s="6" t="n">
        <v>0.19</v>
      </c>
      <c r="F9" s="6" t="n">
        <v>0.24</v>
      </c>
      <c r="G9" s="7" t="n">
        <v>250</v>
      </c>
      <c r="H9" s="4" t="inlineStr">
        <is>
          <t>todo el histórico</t>
        </is>
      </c>
    </row>
    <row r="10">
      <c r="A10" s="4" t="inlineStr">
        <is>
          <t>TAXIROJO</t>
        </is>
      </c>
      <c r="B10" s="5" t="inlineStr">
        <is>
          <t>TAXI ROJO</t>
        </is>
      </c>
      <c r="C10" s="6" t="n">
        <v>0.1</v>
      </c>
      <c r="D10" s="6" t="n">
        <v>0</v>
      </c>
      <c r="E10" s="6" t="n">
        <v>0.19</v>
      </c>
      <c r="F10" s="6" t="n">
        <v>0.24</v>
      </c>
      <c r="G10" s="7" t="n">
        <v>300</v>
      </c>
      <c r="H10" s="4" t="inlineStr">
        <is>
          <t>todo el histórico</t>
        </is>
      </c>
    </row>
    <row r="11">
      <c r="A11" s="4" t="inlineStr">
        <is>
          <t>TAXIVERDE</t>
        </is>
      </c>
      <c r="B11" s="5" t="inlineStr">
        <is>
          <t>TAXI VERDE</t>
        </is>
      </c>
      <c r="C11" s="6" t="n">
        <v>0.1</v>
      </c>
      <c r="D11" s="6" t="n">
        <v>0</v>
      </c>
      <c r="E11" s="6" t="n">
        <v>0.19</v>
      </c>
      <c r="F11" s="6" t="n">
        <v>0.24</v>
      </c>
      <c r="G11" s="7" t="n">
        <v>0</v>
      </c>
      <c r="H11" s="4" t="inlineStr">
        <is>
          <t>todo el histórico</t>
        </is>
      </c>
    </row>
    <row r="12">
      <c r="A12" s="4" t="inlineStr">
        <is>
          <t>TULAKA</t>
        </is>
      </c>
      <c r="B12" s="5" t="inlineStr">
        <is>
          <t>TULAKA</t>
        </is>
      </c>
      <c r="C12" s="6" t="n">
        <v>0.2</v>
      </c>
      <c r="D12" s="8" t="n">
        <v>0.16</v>
      </c>
      <c r="E12" s="6" t="n">
        <v>0.19</v>
      </c>
      <c r="F12" s="6" t="n">
        <v>0.24</v>
      </c>
      <c r="G12" s="7" t="n">
        <v>200</v>
      </c>
      <c r="H12" s="4" t="inlineStr">
        <is>
          <t>todo el histórico</t>
        </is>
      </c>
    </row>
    <row r="13">
      <c r="A13" s="4" t="inlineStr">
        <is>
          <t>TURIBUS ADO</t>
        </is>
      </c>
      <c r="B13" s="5" t="inlineStr">
        <is>
          <t>TURIBUS ADO</t>
        </is>
      </c>
      <c r="C13" s="6" t="n">
        <v>0.1</v>
      </c>
      <c r="D13" s="6" t="n">
        <v>0</v>
      </c>
      <c r="E13" s="6" t="n">
        <v>0.19</v>
      </c>
      <c r="F13" s="6" t="n">
        <v>0.24</v>
      </c>
      <c r="G13" s="7" t="n">
        <v>100</v>
      </c>
      <c r="H13" s="4" t="inlineStr">
        <is>
          <t>todo el histórico</t>
        </is>
      </c>
    </row>
    <row r="14">
      <c r="A14" s="4" t="inlineStr">
        <is>
          <t>TURIBUS SALMORAN</t>
        </is>
      </c>
      <c r="B14" s="5" t="inlineStr">
        <is>
          <t>TURIBUS SALMORAN</t>
        </is>
      </c>
      <c r="C14" s="6" t="n">
        <v>0.2</v>
      </c>
      <c r="D14" s="8" t="n">
        <v>0.16</v>
      </c>
      <c r="E14" s="6" t="n">
        <v>0.19</v>
      </c>
      <c r="F14" s="6" t="n">
        <v>0.24</v>
      </c>
      <c r="G14" s="7" t="n">
        <v>200</v>
      </c>
      <c r="H14" s="4" t="inlineStr">
        <is>
          <t>todo el histórico</t>
        </is>
      </c>
    </row>
    <row r="15">
      <c r="A15" s="4" t="inlineStr">
        <is>
          <t>UBER</t>
        </is>
      </c>
      <c r="B15" s="5" t="inlineStr">
        <is>
          <t>UBER</t>
        </is>
      </c>
      <c r="C15" s="6" t="n">
        <v>0.1</v>
      </c>
      <c r="D15" s="6" t="n">
        <v>0</v>
      </c>
      <c r="E15" s="6" t="n">
        <v>0.19</v>
      </c>
      <c r="F15" s="6" t="n">
        <v>0.24</v>
      </c>
      <c r="G15" s="7" t="n">
        <v>200</v>
      </c>
      <c r="H15" s="4" t="inlineStr">
        <is>
          <t>todo el histórico</t>
        </is>
      </c>
    </row>
    <row r="16">
      <c r="A16" s="4" t="inlineStr">
        <is>
          <t>TAXIAL</t>
        </is>
      </c>
      <c r="B16" s="5" t="inlineStr">
        <is>
          <t>UBER  ALIANZA</t>
        </is>
      </c>
      <c r="C16" s="6" t="n">
        <v>0.1</v>
      </c>
      <c r="D16" s="6" t="n">
        <v>0</v>
      </c>
      <c r="E16" s="6" t="n">
        <v>0.19</v>
      </c>
      <c r="F16" s="6" t="n">
        <v>0.24</v>
      </c>
      <c r="G16" s="7" t="n">
        <v>250</v>
      </c>
      <c r="H16" s="4" t="inlineStr">
        <is>
          <t>todo el histórico</t>
        </is>
      </c>
    </row>
    <row r="17">
      <c r="A17" s="4" t="inlineStr">
        <is>
          <t>VANAZUL</t>
        </is>
      </c>
      <c r="B17" s="5" t="inlineStr">
        <is>
          <t>VAN AZUL</t>
        </is>
      </c>
      <c r="C17" s="6" t="n">
        <v>0.1</v>
      </c>
      <c r="D17" s="6" t="n">
        <v>0</v>
      </c>
      <c r="E17" s="6" t="n">
        <v>0.19</v>
      </c>
      <c r="F17" s="6" t="n">
        <v>0.24</v>
      </c>
      <c r="G17" s="7" t="n">
        <v>350</v>
      </c>
      <c r="H17" s="4" t="inlineStr">
        <is>
          <t>todo el histórico</t>
        </is>
      </c>
    </row>
    <row r="18">
      <c r="A18" s="4" t="inlineStr">
        <is>
          <t>VANCAFE</t>
        </is>
      </c>
      <c r="B18" s="5" t="inlineStr">
        <is>
          <t>VAN CAFE</t>
        </is>
      </c>
      <c r="C18" s="6" t="n">
        <v>0.1</v>
      </c>
      <c r="D18" s="6" t="n">
        <v>0</v>
      </c>
      <c r="E18" s="6" t="n">
        <v>0.19</v>
      </c>
      <c r="F18" s="6" t="n">
        <v>0.24</v>
      </c>
      <c r="G18" s="7" t="n">
        <v>350</v>
      </c>
      <c r="H18" s="4" t="inlineStr">
        <is>
          <t>todo el histórico</t>
        </is>
      </c>
    </row>
    <row r="19">
      <c r="A19" s="4" t="inlineStr">
        <is>
          <t>VANR</t>
        </is>
      </c>
      <c r="B19" s="5" t="inlineStr">
        <is>
          <t>VAN ROJA</t>
        </is>
      </c>
      <c r="C19" s="6" t="n">
        <v>0.1</v>
      </c>
      <c r="D19" s="6" t="n">
        <v>0</v>
      </c>
      <c r="E19" s="6" t="n">
        <v>0.19</v>
      </c>
      <c r="F19" s="6" t="n">
        <v>0.24</v>
      </c>
      <c r="G19" s="7" t="n">
        <v>0</v>
      </c>
      <c r="H19" s="4" t="inlineStr">
        <is>
          <t>todo el histórico</t>
        </is>
      </c>
    </row>
    <row r="20">
      <c r="A20" s="4" t="inlineStr">
        <is>
          <t>VANTR</t>
        </is>
      </c>
      <c r="B20" s="5" t="inlineStr">
        <is>
          <t>VAN TRANSPORTADORAS</t>
        </is>
      </c>
      <c r="C20" s="6" t="n">
        <v>0.1</v>
      </c>
      <c r="D20" s="6" t="n">
        <v>0</v>
      </c>
      <c r="E20" s="6" t="n">
        <v>0.19</v>
      </c>
      <c r="F20" s="6" t="n">
        <v>0.24</v>
      </c>
      <c r="G20" s="7" t="n">
        <v>0</v>
      </c>
      <c r="H20" s="4" t="inlineStr">
        <is>
          <t>todo el histórico</t>
        </is>
      </c>
    </row>
    <row r="21">
      <c r="A21" s="4" t="inlineStr">
        <is>
          <t>VANVERDE</t>
        </is>
      </c>
      <c r="B21" s="5" t="inlineStr">
        <is>
          <t>VAN VERDE</t>
        </is>
      </c>
      <c r="C21" s="6" t="n">
        <v>0.1</v>
      </c>
      <c r="D21" s="6" t="n">
        <v>0</v>
      </c>
      <c r="E21" s="6" t="n">
        <v>0.19</v>
      </c>
      <c r="F21" s="6" t="n">
        <v>0.24</v>
      </c>
      <c r="G21" s="7" t="n">
        <v>0</v>
      </c>
      <c r="H21" s="4" t="inlineStr">
        <is>
          <t>todo el histórico</t>
        </is>
      </c>
    </row>
    <row r="23">
      <c r="A23" s="9" t="inlineStr">
        <is>
          <t>Retención de tarjeta (19 %) y AMEX (24 %) iguales para todas. Efectivo sólo Majestic (10 %), Tulaka y Turibus Salmorán (16 %).</t>
        </is>
      </c>
    </row>
    <row r="24">
      <c r="A24" s="9" t="inlineStr">
        <is>
          <t>El catálogo manda siempre sobre el del punto de venta. Una unidad capturada con una 's' de más, doble espacio o el nombre cortado a 10 letras empareja por parecido con su renglón.</t>
        </is>
      </c>
    </row>
    <row r="25">
      <c r="A25" s="9" t="inlineStr">
        <is>
          <t>Para cambiar una tarifa se edita el archivo HardcodedTransportCatalog.cs y se reinstala. La pantalla de Configuración de comisiones lo muestra de sólo lectura.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</cols>
  <sheetData>
    <row r="1" ht="24" customHeight="1">
      <c r="A1" s="1" t="inlineStr">
        <is>
          <t>Calculadora de comisión de un ticket</t>
        </is>
      </c>
    </row>
    <row r="2">
      <c r="A2" s="2" t="inlineStr">
        <is>
          <t>Misma fórmula que la pantalla de Comisiones. Llena las celdas amarillas.</t>
        </is>
      </c>
    </row>
    <row r="4">
      <c r="A4" s="10" t="inlineStr">
        <is>
          <t>DATOS DEL TICKET (llenar)</t>
        </is>
      </c>
    </row>
    <row r="5">
      <c r="A5" s="4" t="inlineStr">
        <is>
          <t>Unidad</t>
        </is>
      </c>
      <c r="B5" s="11" t="inlineStr">
        <is>
          <t>MAJESTIC EXPEDITIONS</t>
        </is>
      </c>
      <c r="C5" s="9" t="inlineStr">
        <is>
          <t>Elige de la lista (es la misma del catálogo).</t>
        </is>
      </c>
    </row>
    <row r="6">
      <c r="A6" s="4" t="inlineStr">
        <is>
          <t>Venta total del ticket</t>
        </is>
      </c>
      <c r="B6" s="12" t="n">
        <v>2625</v>
      </c>
      <c r="C6" s="9" t="inlineStr">
        <is>
          <t>Lo que compraron.</t>
        </is>
      </c>
    </row>
    <row r="7">
      <c r="A7" s="4" t="inlineStr">
        <is>
          <t>Forma de pago</t>
        </is>
      </c>
      <c r="B7" s="11" t="inlineStr">
        <is>
          <t>EFECTIVO</t>
        </is>
      </c>
      <c r="C7" s="9" t="inlineStr">
        <is>
          <t>EFECTIVO, TARJETA o AMEX. Define qué retención se aplica.</t>
        </is>
      </c>
    </row>
    <row r="8">
      <c r="A8" s="4" t="inlineStr">
        <is>
          <t>Dejada que se le descuenta a este ticket</t>
        </is>
      </c>
      <c r="B8" s="12" t="n">
        <v>0</v>
      </c>
      <c r="C8" s="9" t="inlineStr">
        <is>
          <t>La dejada del folio se carga completa al ticket de mayor venta. Si la venta no llega al umbral, va en cero.</t>
        </is>
      </c>
    </row>
    <row r="9">
      <c r="A9" s="4" t="inlineStr">
        <is>
          <t>Gastos de la visita (degustación, bebidas, etc.)</t>
        </is>
      </c>
      <c r="B9" s="12" t="n">
        <v>30</v>
      </c>
      <c r="C9" s="9" t="inlineStr">
        <is>
          <t>Se restan de la base antes de sacar la comisión.</t>
        </is>
      </c>
    </row>
    <row r="11">
      <c r="A11" s="10" t="inlineStr">
        <is>
          <t>CÓMO SE SACA LA COMISIÓN (fórmulas)</t>
        </is>
      </c>
    </row>
    <row r="12">
      <c r="A12" s="4" t="inlineStr">
        <is>
          <t>Comisión de la unidad</t>
        </is>
      </c>
      <c r="B12" s="6">
        <f>INDEX(Catalogo!$C$5:$C$21,MATCH($B$5,Catalogo!$B$5:$B$21,0))</f>
        <v/>
      </c>
      <c r="C12" s="9" t="inlineStr">
        <is>
          <t>Sale del catálogo.</t>
        </is>
      </c>
    </row>
    <row r="13">
      <c r="A13" s="4" t="inlineStr">
        <is>
          <t>Retención que aplica por la forma de pago</t>
        </is>
      </c>
      <c r="B13" s="6">
        <f>IF($B$7="AMEX",INDEX(Catalogo!$F$5:$F$21,MATCH($B$5,Catalogo!$B$5:$B$21,0)),IF($B$7="TARJETA",INDEX(Catalogo!$E$5:$E$21,MATCH($B$5,Catalogo!$B$5:$B$21,0)),INDEX(Catalogo!$D$5:$D$21,MATCH($B$5,Catalogo!$B$5:$B$21,0))))</f>
        <v/>
      </c>
      <c r="C13" s="9" t="inlineStr">
        <is>
          <t>Efectivo, tarjeta o AMEX según el catálogo.</t>
        </is>
      </c>
    </row>
    <row r="14">
      <c r="A14" s="4" t="inlineStr">
        <is>
          <t>Retención en dinero</t>
        </is>
      </c>
      <c r="B14" s="13">
        <f>-$B$6*$B$13</f>
        <v/>
      </c>
      <c r="C14" s="9" t="inlineStr">
        <is>
          <t>Se aplica sobre la venta, antes de todo lo demás.</t>
        </is>
      </c>
    </row>
    <row r="15">
      <c r="A15" s="4" t="inlineStr">
        <is>
          <t>Menos la dejada</t>
        </is>
      </c>
      <c r="B15" s="13">
        <f>-$B$8</f>
        <v/>
      </c>
    </row>
    <row r="16">
      <c r="A16" s="4" t="inlineStr">
        <is>
          <t>Menos los gastos</t>
        </is>
      </c>
      <c r="B16" s="13">
        <f>-$B$9</f>
        <v/>
      </c>
    </row>
    <row r="17">
      <c r="A17" s="5" t="inlineStr">
        <is>
          <t>SOBRE ESTO SE SACA LA COMISIÓN</t>
        </is>
      </c>
      <c r="B17" s="14">
        <f>$B$6+$B$14+$B$15+$B$16</f>
        <v/>
      </c>
      <c r="C17" s="9" t="inlineStr">
        <is>
          <t>Venta menos retención, dejada y gastos.</t>
        </is>
      </c>
    </row>
    <row r="18">
      <c r="A18" s="5" t="inlineStr">
        <is>
          <t>COMISIÓN DEL TAXISTA</t>
        </is>
      </c>
      <c r="B18" s="15">
        <f>TRUNC($B$17*$B$12)</f>
        <v/>
      </c>
      <c r="C18" s="9" t="inlineStr">
        <is>
          <t>Se trunca a pesos enteros, igual que el sistema (no redondea).</t>
        </is>
      </c>
    </row>
    <row r="20">
      <c r="A20" s="9" t="inlineStr">
        <is>
          <t>Ejemplo cargado: folio C-5094-BX14665458012 de ULISES QUENO (03/09/2026), Majestic, $2,625 en efectivo con $30 de degustación → retención $262.50, base $2,332.50, comisión $186.</t>
        </is>
      </c>
    </row>
    <row r="21">
      <c r="A21" s="9" t="inlineStr">
        <is>
          <t>Pago mixto (parte efectivo, parte tarjeta): el sistema aplica cada retención a su parte. Esta calculadora asume una sola forma de pago.</t>
        </is>
      </c>
    </row>
  </sheetData>
  <mergeCells count="2">
    <mergeCell ref="A4:C4"/>
    <mergeCell ref="A11:C11"/>
  </mergeCells>
  <dataValidations count="2">
    <dataValidation sqref="B5" showDropDown="0" showInputMessage="0" showErrorMessage="0" allowBlank="0" type="list">
      <formula1>=Catalogo!$B$5:$B$21</formula1>
    </dataValidation>
    <dataValidation sqref="B7" showDropDown="0" showInputMessage="0" showErrorMessage="0" allowBlank="0" type="list">
      <formula1>"EFECTIVO,TARJETA,AMEX"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</cols>
  <sheetData>
    <row r="1" ht="24" customHeight="1">
      <c r="A1" s="1" t="inlineStr">
        <is>
          <t>Alias y amarres</t>
        </is>
      </c>
    </row>
    <row r="2">
      <c r="A2" s="2" t="inlineStr">
        <is>
          <t>Lo que el sistema corrige solo cuando la captura viene mal o incompleta.</t>
        </is>
      </c>
    </row>
    <row r="4" ht="28" customHeight="1">
      <c r="A4" s="3" t="inlineStr">
        <is>
          <t>Se captura como</t>
        </is>
      </c>
      <c r="B4" s="3" t="inlineStr">
        <is>
          <t>Se toma como</t>
        </is>
      </c>
      <c r="C4" s="3" t="inlineStr">
        <is>
          <t>Por qué</t>
        </is>
      </c>
    </row>
    <row r="5">
      <c r="A5" s="4" t="inlineStr">
        <is>
          <t>TRAVER EXP</t>
        </is>
      </c>
      <c r="B5" s="4" t="inlineStr">
        <is>
          <t>TRAVEL EXPERIENCE</t>
        </is>
      </c>
      <c r="C5" s="16" t="inlineStr">
        <is>
          <t>Error de dedo: TRAVER por TRAVEL. 12 folios el 02/09/2026.</t>
        </is>
      </c>
    </row>
    <row r="6">
      <c r="A6" s="4" t="inlineStr">
        <is>
          <t>TRAVER EXPERIENCE</t>
        </is>
      </c>
      <c r="B6" s="4" t="inlineStr">
        <is>
          <t>TRAVEL EXPERIENCE</t>
        </is>
      </c>
      <c r="C6" s="16" t="inlineStr">
        <is>
          <t>Mismo error de dedo, sin cortar.</t>
        </is>
      </c>
    </row>
    <row r="7">
      <c r="A7" s="4" t="inlineStr">
        <is>
          <t>TAXOVERDE</t>
        </is>
      </c>
      <c r="B7" s="4" t="inlineStr">
        <is>
          <t>TAXI VERDE NACIONAL</t>
        </is>
      </c>
      <c r="C7" s="16" t="inlineStr">
        <is>
          <t>Error de dedo confirmado el 19/08/2026.</t>
        </is>
      </c>
    </row>
    <row r="8">
      <c r="A8" s="4" t="inlineStr">
        <is>
          <t>VANTRANSPOTADORA</t>
        </is>
      </c>
      <c r="B8" s="4" t="inlineStr">
        <is>
          <t>VAN TRANSPORTADORAS</t>
        </is>
      </c>
      <c r="C8" s="16" t="inlineStr">
        <is>
          <t>Error de dedo confirmado el 19/08/2026.</t>
        </is>
      </c>
    </row>
    <row r="9">
      <c r="A9" s="4" t="inlineStr">
        <is>
          <t>VANTRASNPOTADORA</t>
        </is>
      </c>
      <c r="B9" s="4" t="inlineStr">
        <is>
          <t>VAN TRANSPORTADORAS</t>
        </is>
      </c>
      <c r="C9" s="16" t="inlineStr">
        <is>
          <t>Error de dedo confirmado el 19/08/2026.</t>
        </is>
      </c>
    </row>
    <row r="11">
      <c r="A11" s="17" t="inlineStr">
        <is>
          <t>AMARRE POR TAXISTA (último recurso, sólo si el ticket no trae unidad)</t>
        </is>
      </c>
    </row>
    <row r="12" ht="28" customHeight="1">
      <c r="A12" s="3" t="inlineStr">
        <is>
          <t>Taxista</t>
        </is>
      </c>
      <c r="B12" s="3" t="inlineStr">
        <is>
          <t>Unidad que se le asigna</t>
        </is>
      </c>
      <c r="C12" s="3" t="inlineStr">
        <is>
          <t>Condición</t>
        </is>
      </c>
    </row>
    <row r="13">
      <c r="A13" s="4" t="inlineStr">
        <is>
          <t>ANTONIO FLORES</t>
        </is>
      </c>
      <c r="B13" s="4" t="inlineStr">
        <is>
          <t>TURIBUS SALMORAN</t>
        </is>
      </c>
      <c r="C13" s="16" t="inlineStr">
        <is>
          <t>Solo cuando el ticket llega SIN unidad. Si trae unidad, esa manda.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2026-09-11T16:58:26Z</dcterms:created>
  <dcterms:modified xmlns:dcterms="http://purl.org/dc/terms/" xmlns:xsi="http://www.w3.org/2001/XMLSchema-instance" xsi:type="dcterms:W3CDTF">2026-09-11T16:58:26Z</dcterms:modified>
</cp:coreProperties>
</file>